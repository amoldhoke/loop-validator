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Loop\Desktop\Process Tools\Validator Tool\Input File\Initial Process\"/>
    </mc:Choice>
  </mc:AlternateContent>
  <bookViews>
    <workbookView xWindow="0" yWindow="0" windowWidth="19200" windowHeight="6930" activeTab="1"/>
  </bookViews>
  <sheets>
    <sheet name="Additions" sheetId="1" r:id="rId1"/>
    <sheet name="Deletions" sheetId="5" r:id="rId2"/>
    <sheet name="Corrections" sheetId="6" r:id="rId3"/>
    <sheet name="DO NOT TOUCH" sheetId="2" r:id="rId4"/>
  </sheets>
  <definedNames>
    <definedName name="_xlnm._FilterDatabase" localSheetId="0" hidden="1">Additions!$D$9:$L$9</definedName>
    <definedName name="_xlnm._FilterDatabase" localSheetId="2" hidden="1">Corrections!$D$9:$L$9</definedName>
    <definedName name="_xlnm._FilterDatabase" localSheetId="1" hidden="1">Deletions!$D$9:$L$9</definedName>
    <definedName name="relation">'DO NOT TOUCH'!$A$2:$A$14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2" i="1" l="1"/>
  <c r="D13" i="1"/>
  <c r="D14" i="1" s="1"/>
  <c r="D18" i="1"/>
  <c r="D19" i="1"/>
  <c r="D21" i="1"/>
  <c r="D23" i="1"/>
  <c r="D24" i="1"/>
  <c r="D35" i="1"/>
  <c r="D36" i="1"/>
  <c r="D38" i="1"/>
  <c r="D59" i="1"/>
  <c r="D60" i="1"/>
  <c r="D62" i="1"/>
  <c r="D63" i="1"/>
  <c r="D64" i="1"/>
  <c r="D66" i="1"/>
  <c r="D67" i="1"/>
  <c r="D68" i="1" s="1"/>
  <c r="D70" i="1"/>
  <c r="D71" i="1"/>
  <c r="D73" i="1"/>
  <c r="D74" i="1"/>
  <c r="D76" i="1"/>
  <c r="D77" i="1"/>
  <c r="D78" i="1"/>
  <c r="D81" i="1"/>
  <c r="D82" i="1" s="1"/>
  <c r="D86" i="1"/>
  <c r="D87" i="1"/>
  <c r="D91" i="1"/>
  <c r="D92" i="1"/>
  <c r="D93" i="1"/>
  <c r="D95" i="1"/>
  <c r="D103" i="1"/>
  <c r="D104" i="1" s="1"/>
  <c r="D106" i="1"/>
  <c r="D107" i="1"/>
  <c r="D109" i="1"/>
  <c r="D110" i="1"/>
  <c r="D111" i="1"/>
  <c r="D113" i="1"/>
  <c r="D114" i="1" s="1"/>
  <c r="D115" i="1" s="1"/>
  <c r="D117" i="1"/>
  <c r="D118" i="1"/>
  <c r="D119" i="1"/>
  <c r="B36" i="6" l="1"/>
  <c r="B31" i="6"/>
  <c r="B26" i="6"/>
  <c r="B21" i="6"/>
  <c r="B16" i="6"/>
  <c r="B11" i="6"/>
  <c r="B15" i="5" l="1"/>
  <c r="B25" i="5"/>
  <c r="B20" i="5"/>
  <c r="B11" i="5"/>
  <c r="B36" i="1" l="1"/>
  <c r="B31" i="1"/>
  <c r="B26" i="1"/>
  <c r="B21" i="1"/>
  <c r="B16" i="1"/>
  <c r="B11" i="1"/>
  <c r="B35" i="5" l="1"/>
  <c r="B30" i="5"/>
  <c r="B34" i="1" l="1"/>
  <c r="B29" i="1"/>
  <c r="B24" i="1"/>
  <c r="B19" i="1"/>
</calcChain>
</file>

<file path=xl/sharedStrings.xml><?xml version="1.0" encoding="utf-8"?>
<sst xmlns="http://schemas.openxmlformats.org/spreadsheetml/2006/main" count="628" uniqueCount="320">
  <si>
    <t>Emp No</t>
  </si>
  <si>
    <t>Name</t>
  </si>
  <si>
    <t>Relation</t>
  </si>
  <si>
    <t>Gender</t>
  </si>
  <si>
    <t>Base Sum Insured</t>
  </si>
  <si>
    <t>Email ID</t>
  </si>
  <si>
    <t>Mobile Number</t>
  </si>
  <si>
    <t>Self</t>
  </si>
  <si>
    <t>Female</t>
  </si>
  <si>
    <t>Male</t>
  </si>
  <si>
    <t>Spouse</t>
  </si>
  <si>
    <t>Son</t>
  </si>
  <si>
    <t>Daughter</t>
  </si>
  <si>
    <t>Wife</t>
  </si>
  <si>
    <t>Husband</t>
  </si>
  <si>
    <t>Employee</t>
  </si>
  <si>
    <t>Mother</t>
  </si>
  <si>
    <t>Father</t>
  </si>
  <si>
    <t>Child</t>
  </si>
  <si>
    <t>Children</t>
  </si>
  <si>
    <t>Father-in-law</t>
  </si>
  <si>
    <t>Mother-in-law</t>
  </si>
  <si>
    <t>F</t>
  </si>
  <si>
    <t>M</t>
  </si>
  <si>
    <t>father</t>
  </si>
  <si>
    <t>self</t>
  </si>
  <si>
    <t>employee</t>
  </si>
  <si>
    <t>mother</t>
  </si>
  <si>
    <t>spouse</t>
  </si>
  <si>
    <t>wife</t>
  </si>
  <si>
    <t>husband</t>
  </si>
  <si>
    <t>child</t>
  </si>
  <si>
    <t>children</t>
  </si>
  <si>
    <t>son</t>
  </si>
  <si>
    <t>daughter</t>
  </si>
  <si>
    <t>father-in-law</t>
  </si>
  <si>
    <t>mother-in-law</t>
  </si>
  <si>
    <t>{"self","employee","emp","parents","parent","father","mother","spouse","wife","husband","child","children","son","daughter","parent-in-law","father-in-law","mother-in-law"}</t>
  </si>
  <si>
    <t>Kids</t>
  </si>
  <si>
    <t>Parents</t>
  </si>
  <si>
    <t>Parents-In-Law</t>
  </si>
  <si>
    <t>Instruction Area:</t>
  </si>
  <si>
    <t>Total Live Count</t>
  </si>
  <si>
    <t>Date of Coverage</t>
  </si>
  <si>
    <t>Date of Birth</t>
  </si>
  <si>
    <t>CTC</t>
  </si>
  <si>
    <t>Date of Leaving</t>
  </si>
  <si>
    <t>Proposed Value</t>
  </si>
  <si>
    <t>Correction Type</t>
  </si>
  <si>
    <t>Exisiting Value</t>
  </si>
  <si>
    <t>Reason for Deletion</t>
  </si>
  <si>
    <r>
      <t>How to use this sheet?</t>
    </r>
    <r>
      <rPr>
        <sz val="14"/>
        <color theme="1"/>
        <rFont val="Calibri"/>
        <family val="2"/>
        <scheme val="minor"/>
      </rPr>
      <t xml:space="preserve">
This sheet will help you validate for critical issues that lead to delays in endorsements. To use the validations first copy and paste all the endorsement data you need to share. Then click the green "Validation Checks" buttons in the Validation Check section. It will highlight the erroneous fields in yellow. Refer to this area to better understand the error and then resolve it. You will have accurate and consistent data after this. The button will change color to blue once you have clicked it indicating you have run that check. For best results, click a button and fix all the highlighted fields before moving to another check. </t>
    </r>
  </si>
  <si>
    <t>Anoop Kumar</t>
  </si>
  <si>
    <t>Sanjeev Kumar</t>
  </si>
  <si>
    <t>Ashwani Kumar</t>
  </si>
  <si>
    <t>thakuranoop4516@gmail.com</t>
  </si>
  <si>
    <t>9459247692/8219174754</t>
  </si>
  <si>
    <t>Roshan Lal</t>
  </si>
  <si>
    <t>roshanlal20018@gmail.com</t>
  </si>
  <si>
    <t>Geeta Devi</t>
  </si>
  <si>
    <t>Suhana</t>
  </si>
  <si>
    <t>Shubham</t>
  </si>
  <si>
    <t>Ankit Kumar</t>
  </si>
  <si>
    <t>ak.ankit921@gmail.com</t>
  </si>
  <si>
    <t>Mukesh Kumar</t>
  </si>
  <si>
    <t>mukesh258303@gmail.com</t>
  </si>
  <si>
    <t>Kuldeep Kumar</t>
  </si>
  <si>
    <t>kuldeepthakur3312@gmail.com</t>
  </si>
  <si>
    <t>Bhavindra kumari</t>
  </si>
  <si>
    <t>Ridhima Thakur</t>
  </si>
  <si>
    <t>sonuthakur000487@gmail.com</t>
  </si>
  <si>
    <t>Anjana Kumari</t>
  </si>
  <si>
    <t>Anshul Kumar</t>
  </si>
  <si>
    <t>kumaranshul7455123@gmail.com</t>
  </si>
  <si>
    <t>Anjali Kumari</t>
  </si>
  <si>
    <t>Prinal Dhiman</t>
  </si>
  <si>
    <t>Ashish Thakur</t>
  </si>
  <si>
    <t>thakurashish12591@gmail.com</t>
  </si>
  <si>
    <t>sanjeevpatial783@gmail.com</t>
  </si>
  <si>
    <t>Maneesh Kumar</t>
  </si>
  <si>
    <t>maneesht13@gmail.com</t>
  </si>
  <si>
    <t>Atish Bhardwaj</t>
  </si>
  <si>
    <t>Sel</t>
  </si>
  <si>
    <t>Resigned</t>
  </si>
  <si>
    <t>8638934927</t>
  </si>
  <si>
    <t>debabr23@gmail.com</t>
  </si>
  <si>
    <t>Daughter of Debabrat Nath</t>
  </si>
  <si>
    <t>HFGWPD044</t>
  </si>
  <si>
    <t>HFARPD024</t>
  </si>
  <si>
    <t>ABHINAV  TIVARI</t>
  </si>
  <si>
    <t>HFARQA029</t>
  </si>
  <si>
    <t>PANKAJ KUMAR  YADAV</t>
  </si>
  <si>
    <t>HFGWPD020</t>
  </si>
  <si>
    <t>Ayush  Pipaniya</t>
  </si>
  <si>
    <t>14-Nov-1999</t>
  </si>
  <si>
    <t>08-Jul-2024</t>
  </si>
  <si>
    <t>HFCEMT054</t>
  </si>
  <si>
    <t>K BalaMurugan</t>
  </si>
  <si>
    <t>HFCEPD451</t>
  </si>
  <si>
    <t>Mugesh Kanna M</t>
  </si>
  <si>
    <t>HFCEMT055</t>
  </si>
  <si>
    <t>Arunkumar A</t>
  </si>
  <si>
    <t>Arathi KN</t>
  </si>
  <si>
    <t>Aadrika A</t>
  </si>
  <si>
    <t>HFCEMT056</t>
  </si>
  <si>
    <t>Mathankumar E</t>
  </si>
  <si>
    <t>Suwetha S</t>
  </si>
  <si>
    <t>HFCBQA048</t>
  </si>
  <si>
    <t>SANJAY S</t>
  </si>
  <si>
    <t>MALE</t>
  </si>
  <si>
    <t>HFCBQA049</t>
  </si>
  <si>
    <t>GUNAL S</t>
  </si>
  <si>
    <t>HFCBPD183</t>
  </si>
  <si>
    <t>THARUN VISHAL R</t>
  </si>
  <si>
    <t>HFCBPD184</t>
  </si>
  <si>
    <t>RAJADURAI C</t>
  </si>
  <si>
    <t>HFCBPD185</t>
  </si>
  <si>
    <t>NANTHA GOPAL J.L</t>
  </si>
  <si>
    <t>HFCBPD186</t>
  </si>
  <si>
    <t>SRITHAR S</t>
  </si>
  <si>
    <t>HFCBPD187</t>
  </si>
  <si>
    <t>PRAVIN KUMAR C</t>
  </si>
  <si>
    <t>HFCBPD188</t>
  </si>
  <si>
    <t>DEEPINI M</t>
  </si>
  <si>
    <t>FEMALE</t>
  </si>
  <si>
    <t>HFCBPD189</t>
  </si>
  <si>
    <t>SHANMITHA M</t>
  </si>
  <si>
    <t>HFCBPD190</t>
  </si>
  <si>
    <t>UMA MAHESWARI A</t>
  </si>
  <si>
    <t>HFCBPD191</t>
  </si>
  <si>
    <t>MUGESH N</t>
  </si>
  <si>
    <t>HFCBPD192</t>
  </si>
  <si>
    <t>SABARINATHAN</t>
  </si>
  <si>
    <t>HFCBPD193</t>
  </si>
  <si>
    <t>HARIHARAN T</t>
  </si>
  <si>
    <t>HFCBPD194</t>
  </si>
  <si>
    <t>SAKTHI NILA</t>
  </si>
  <si>
    <t>HFCBPD195</t>
  </si>
  <si>
    <t>JANANI</t>
  </si>
  <si>
    <t>HFCBPD196</t>
  </si>
  <si>
    <t>SANJAI A</t>
  </si>
  <si>
    <t>HFCBPD197</t>
  </si>
  <si>
    <t>PALESWARAN</t>
  </si>
  <si>
    <t>HFCBPD198</t>
  </si>
  <si>
    <t>MANIKANDAN</t>
  </si>
  <si>
    <t>HFCBPD199</t>
  </si>
  <si>
    <t>MANIVANNAN</t>
  </si>
  <si>
    <t>HFHYPD481</t>
  </si>
  <si>
    <t>Deepak Kumar Sharma</t>
  </si>
  <si>
    <t>Sangeeta Shorma</t>
  </si>
  <si>
    <t>Yonsh Sharma</t>
  </si>
  <si>
    <t>HFHYPD482</t>
  </si>
  <si>
    <t>Hanumannolla Shirisha</t>
  </si>
  <si>
    <t>M.Nikhil Reddy</t>
  </si>
  <si>
    <t>Husbend</t>
  </si>
  <si>
    <t>M.Shanvi Reddy</t>
  </si>
  <si>
    <t>M. Thanvika</t>
  </si>
  <si>
    <t>HFHYPD483</t>
  </si>
  <si>
    <t>Mohd Asgar Khan</t>
  </si>
  <si>
    <t>Shabnom Khatun</t>
  </si>
  <si>
    <t>Alfionoor</t>
  </si>
  <si>
    <t>Gawsiya Noor</t>
  </si>
  <si>
    <t>HFHYPD484</t>
  </si>
  <si>
    <t>Abdul Shakeel</t>
  </si>
  <si>
    <t>Shanno Bano</t>
  </si>
  <si>
    <t>Yaseen Junaid</t>
  </si>
  <si>
    <t>HFHYFA027</t>
  </si>
  <si>
    <t>Kadavakollu Venugopalakrishna</t>
  </si>
  <si>
    <t>K Vanaja</t>
  </si>
  <si>
    <t>K.Ravi Kiran</t>
  </si>
  <si>
    <t>HFHYMT150</t>
  </si>
  <si>
    <t>P.Raj Kumar Goud</t>
  </si>
  <si>
    <t>P Jayothi</t>
  </si>
  <si>
    <t>P.Sai Raghu Varun</t>
  </si>
  <si>
    <t>P.Akshara</t>
  </si>
  <si>
    <t>HFHYPD486</t>
  </si>
  <si>
    <t>Samadhan Maruti Gunjal</t>
  </si>
  <si>
    <t>HFHYMT151</t>
  </si>
  <si>
    <t>Mondru Bhaskar</t>
  </si>
  <si>
    <t>Mandru Ahalya</t>
  </si>
  <si>
    <t>Mandru Gaganvitha Christy</t>
  </si>
  <si>
    <t>HFHYPD492</t>
  </si>
  <si>
    <t>Uggirala Durga Prasad</t>
  </si>
  <si>
    <t>HFHYPD493</t>
  </si>
  <si>
    <t>Raghupatruni Prashanth</t>
  </si>
  <si>
    <t>HFHYMT152</t>
  </si>
  <si>
    <t>Aaviti Santosh Kumar</t>
  </si>
  <si>
    <t>Vidya Sri</t>
  </si>
  <si>
    <t>Aaviti Saadwitha</t>
  </si>
  <si>
    <t>HFHYPD494</t>
  </si>
  <si>
    <t>Anand Kumar</t>
  </si>
  <si>
    <t>HFHYPD495</t>
  </si>
  <si>
    <t>Saurabh Makhan</t>
  </si>
  <si>
    <t>HFHYPD496</t>
  </si>
  <si>
    <t>Mohdrizwan</t>
  </si>
  <si>
    <t>Shahanaz</t>
  </si>
  <si>
    <t>Rima Rifat</t>
  </si>
  <si>
    <t>Sidra</t>
  </si>
  <si>
    <t>HFHYQA108</t>
  </si>
  <si>
    <t>Nakka Muddurangadu</t>
  </si>
  <si>
    <t>Nakka Anuradha</t>
  </si>
  <si>
    <t>HFMYQA039</t>
  </si>
  <si>
    <t>Karthik  V</t>
  </si>
  <si>
    <t>05-Apr-1998</t>
  </si>
  <si>
    <t>02-Jul-2024</t>
  </si>
  <si>
    <t>HFMYSC016</t>
  </si>
  <si>
    <t>Shivakumara  C</t>
  </si>
  <si>
    <t>28-Feb-1996</t>
  </si>
  <si>
    <t>01-Jul-2024</t>
  </si>
  <si>
    <t xml:space="preserve"> HFHOSC073</t>
  </si>
  <si>
    <t>Ritika Sansare</t>
  </si>
  <si>
    <t>HFHOFA081</t>
  </si>
  <si>
    <t>Prathamesh Gangan</t>
  </si>
  <si>
    <t>Rupal Narvekar</t>
  </si>
  <si>
    <t>HFPYQA022</t>
  </si>
  <si>
    <t>DURGESH KUMAR  DAWANDE</t>
  </si>
  <si>
    <t>19-Sep-1990</t>
  </si>
  <si>
    <t>HFPYQA023</t>
  </si>
  <si>
    <t>VENKATESAN  K</t>
  </si>
  <si>
    <t>10-May-1993</t>
  </si>
  <si>
    <t>RAMYA V</t>
  </si>
  <si>
    <t>DHAKSHA</t>
  </si>
  <si>
    <t xml:space="preserve">Son </t>
  </si>
  <si>
    <t>HFPYSC046</t>
  </si>
  <si>
    <t>RAJKUMAR  R</t>
  </si>
  <si>
    <t>16-Mar-1980</t>
  </si>
  <si>
    <t>KAVITHA D</t>
  </si>
  <si>
    <t>R ISHAAN GAUTAM</t>
  </si>
  <si>
    <t>HFPYSC047</t>
  </si>
  <si>
    <t>MURUGAN  V</t>
  </si>
  <si>
    <t>20-May-1988</t>
  </si>
  <si>
    <t>PACHAIAMMAL</t>
  </si>
  <si>
    <t>GOWTHAM</t>
  </si>
  <si>
    <t>GOWSHIKA</t>
  </si>
  <si>
    <t>HFPYPD099</t>
  </si>
  <si>
    <t>KAVIKUMAR M  M</t>
  </si>
  <si>
    <t>05-May-1989</t>
  </si>
  <si>
    <t>SRINIDHI B</t>
  </si>
  <si>
    <t>SANGAMITHRA MANGAI K</t>
  </si>
  <si>
    <t>SHAVANTHIKA MANGAI K</t>
  </si>
  <si>
    <t>Carsten Braun</t>
  </si>
  <si>
    <t>Katarina Braun</t>
  </si>
  <si>
    <t xml:space="preserve">Vivienne Elisabeth Braun </t>
  </si>
  <si>
    <t>Maximilian Braun</t>
  </si>
  <si>
    <t>HFHOFA080</t>
  </si>
  <si>
    <t>Pratik Pawar</t>
  </si>
  <si>
    <t>Satish Salvi</t>
  </si>
  <si>
    <t xml:space="preserve"> HFHOFA078</t>
  </si>
  <si>
    <t>Saroj Nayak</t>
  </si>
  <si>
    <t xml:space="preserve">	HFMASC003</t>
  </si>
  <si>
    <t>Pruthiviraj Patil</t>
  </si>
  <si>
    <t>HFMYQA025</t>
  </si>
  <si>
    <t>Abhishek G V</t>
  </si>
  <si>
    <t>HFMYMT013</t>
  </si>
  <si>
    <t xml:space="preserve">Nandish MR </t>
  </si>
  <si>
    <t>HFMYHR004</t>
  </si>
  <si>
    <t xml:space="preserve">Bharath Kumar M </t>
  </si>
  <si>
    <t>HFMYMT018</t>
  </si>
  <si>
    <t>18.06.2024</t>
  </si>
  <si>
    <t>Vikash Mishra</t>
  </si>
  <si>
    <t>HFHYPD419</t>
  </si>
  <si>
    <t>30.05.2024</t>
  </si>
  <si>
    <t>Sohan Lal</t>
  </si>
  <si>
    <t>HFHYPD347</t>
  </si>
  <si>
    <t>16.7.2024</t>
  </si>
  <si>
    <t>Rajesh J</t>
  </si>
  <si>
    <t>HFHYSC109</t>
  </si>
  <si>
    <t>05.07.2024</t>
  </si>
  <si>
    <t>Prabhat Kumar</t>
  </si>
  <si>
    <t>HFHYQA107</t>
  </si>
  <si>
    <t>04.07.2024</t>
  </si>
  <si>
    <t>LINGA RAJU</t>
  </si>
  <si>
    <t>HFHYMT149</t>
  </si>
  <si>
    <t>Swathi Bellipalli</t>
  </si>
  <si>
    <t>HFHYSC098</t>
  </si>
  <si>
    <t>Subhasis Kumbhakar</t>
  </si>
  <si>
    <t>HFHYQA081</t>
  </si>
  <si>
    <t>Ashwini Sateesh Kumar</t>
  </si>
  <si>
    <t>HFHYPD293</t>
  </si>
  <si>
    <t>Krupa Kamalakar Naik</t>
  </si>
  <si>
    <t>HFHYQA061</t>
  </si>
  <si>
    <t>Shrisat Kumar Dhal</t>
  </si>
  <si>
    <t>HFHYPD294</t>
  </si>
  <si>
    <t>29.06.2024</t>
  </si>
  <si>
    <t>T Rajya Seshu</t>
  </si>
  <si>
    <t>HFHYMG001</t>
  </si>
  <si>
    <t>SUGANESH R</t>
  </si>
  <si>
    <t>HFCBPD180</t>
  </si>
  <si>
    <t>PURUSOTHUMAN M</t>
  </si>
  <si>
    <t>HFCBQA047</t>
  </si>
  <si>
    <t>A .THILAGARPRINCE</t>
  </si>
  <si>
    <t>HFCBPD107</t>
  </si>
  <si>
    <t>Jesudoss</t>
  </si>
  <si>
    <t>HFCBSC009</t>
  </si>
  <si>
    <t>Gowtham R</t>
  </si>
  <si>
    <t>HFCEPD447</t>
  </si>
  <si>
    <t>Narasimman M</t>
  </si>
  <si>
    <t>HFCEPD435</t>
  </si>
  <si>
    <t>HFCEPD421</t>
  </si>
  <si>
    <t>HFCEPD365</t>
  </si>
  <si>
    <t xml:space="preserve">Y. Santhanamani </t>
  </si>
  <si>
    <t>HFCEPD295</t>
  </si>
  <si>
    <t xml:space="preserve">R Nagaraj </t>
  </si>
  <si>
    <t>HFCEQA037</t>
  </si>
  <si>
    <t>HFCEQA002</t>
  </si>
  <si>
    <t>S.Chandran</t>
  </si>
  <si>
    <t>HFCEMT003</t>
  </si>
  <si>
    <t>Sidhu Kumar Singh</t>
  </si>
  <si>
    <t>HFGWPD006</t>
  </si>
  <si>
    <t>30.06.2024</t>
  </si>
  <si>
    <t>Anand Rajendra Bhadane</t>
  </si>
  <si>
    <t>HFARQA024</t>
  </si>
  <si>
    <t>Firdous Khan (HFARQA023)</t>
  </si>
  <si>
    <t>HFARQA023</t>
  </si>
  <si>
    <t>Name Corrections</t>
  </si>
  <si>
    <t>S.Sundramoorthi</t>
  </si>
  <si>
    <t>HFCEPD044</t>
  </si>
  <si>
    <t>Mr. Kalaimathi</t>
  </si>
  <si>
    <t>Ms. Gowrishankar V</t>
  </si>
  <si>
    <t>..S…..Murali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</si>
</sst>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4009]dd/mm/yyyy;@"/>
  </numFmts>
  <fonts count="26">
    <font>
      <sz val="11"/>
      <color theme="1"/>
      <name val="Calibri"/>
      <family val="2"/>
      <scheme val="minor"/>
    </font>
    <font>
      <b/>
      <sz val="11"/>
      <color theme="1"/>
      <name val="Calibri"/>
      <family val="2"/>
      <scheme val="minor"/>
    </font>
    <font>
      <sz val="11"/>
      <color rgb="FF141414"/>
      <name val="Segoe UI"/>
      <family val="2"/>
    </font>
    <font>
      <b/>
      <sz val="11"/>
      <color theme="0"/>
      <name val="Calibri"/>
      <family val="2"/>
      <scheme val="minor"/>
    </font>
    <font>
      <sz val="9"/>
      <color rgb="FF141414"/>
      <name val="Segoe UI"/>
      <family val="2"/>
    </font>
    <font>
      <b/>
      <sz val="18"/>
      <color theme="0"/>
      <name val="Calibri"/>
      <family val="2"/>
      <scheme val="minor"/>
    </font>
    <font>
      <b/>
      <sz val="14"/>
      <color theme="1"/>
      <name val="Calibri"/>
      <family val="2"/>
      <scheme val="minor"/>
    </font>
    <font>
      <sz val="14"/>
      <color theme="1"/>
      <name val="Calibri"/>
      <family val="2"/>
      <scheme val="minor"/>
    </font>
    <font>
      <u/>
      <sz val="11"/>
      <color theme="10"/>
      <name val="Calibri"/>
      <family val="2"/>
      <scheme val="minor"/>
    </font>
    <font>
      <sz val="10"/>
      <color theme="1"/>
      <name val="Arial"/>
      <family val="2"/>
    </font>
    <font>
      <sz val="11"/>
      <color theme="1"/>
      <name val="Calibri"/>
      <family val="2"/>
      <scheme val="minor"/>
    </font>
    <font>
      <sz val="10"/>
      <color theme="1"/>
      <name val="Calibri"/>
      <family val="2"/>
      <scheme val="minor"/>
    </font>
    <font>
      <sz val="11"/>
      <name val="Calibri"/>
      <family val="2"/>
      <scheme val="minor"/>
    </font>
    <font>
      <sz val="10"/>
      <color rgb="FF000000"/>
      <name val="Calibri Light"/>
      <family val="1"/>
      <scheme val="major"/>
    </font>
    <font>
      <sz val="10"/>
      <color rgb="FF001835"/>
      <name val="Open Sans"/>
    </font>
    <font>
      <sz val="10"/>
      <color rgb="FF000000"/>
      <name val="Times New Roman"/>
      <family val="1"/>
    </font>
    <font>
      <sz val="10"/>
      <color theme="1"/>
      <name val="Times New Roman"/>
      <family val="1"/>
    </font>
    <font>
      <sz val="10"/>
      <color rgb="FF001835"/>
      <name val="Calibri"/>
      <family val="2"/>
      <scheme val="minor"/>
    </font>
    <font>
      <sz val="10"/>
      <name val="Times New Roman"/>
      <family val="1"/>
    </font>
    <font>
      <sz val="10"/>
      <color theme="1"/>
      <name val="Calibri Light"/>
      <family val="1"/>
      <scheme val="major"/>
    </font>
    <font>
      <sz val="10"/>
      <name val="Calibri"/>
      <family val="2"/>
      <scheme val="minor"/>
    </font>
    <font>
      <sz val="11"/>
      <color theme="1"/>
      <name val="Cambria"/>
      <family val="1"/>
    </font>
    <font>
      <sz val="11"/>
      <name val="Cambria"/>
      <family val="1"/>
    </font>
    <font>
      <sz val="10"/>
      <name val="Arial"/>
      <family val="2"/>
    </font>
    <font>
      <sz val="10"/>
      <color theme="1"/>
      <name val="Cambria"/>
      <family val="1"/>
    </font>
    <font>
      <sz val="10"/>
      <name val="Cambria"/>
      <family val="1"/>
    </font>
  </fonts>
  <fills count="8">
    <fill>
      <patternFill patternType="none"/>
    </fill>
    <fill>
      <patternFill patternType="gray125"/>
    </fill>
    <fill>
      <patternFill patternType="solid">
        <fgColor rgb="FF097054"/>
        <bgColor indexed="64"/>
      </patternFill>
    </fill>
    <fill>
      <patternFill patternType="solid">
        <fgColor rgb="FF99CC99"/>
        <bgColor indexed="64"/>
      </patternFill>
    </fill>
    <fill>
      <patternFill patternType="solid">
        <fgColor rgb="FF045C4C"/>
        <bgColor indexed="64"/>
      </patternFill>
    </fill>
    <fill>
      <patternFill patternType="solid">
        <fgColor rgb="FFFFFF00"/>
        <bgColor indexed="64"/>
      </patternFill>
    </fill>
    <fill>
      <patternFill patternType="solid">
        <fgColor theme="0"/>
        <bgColor indexed="64"/>
      </patternFill>
    </fill>
    <fill>
      <patternFill patternType="solid">
        <fgColor rgb="FFFFFFFF"/>
        <bgColor indexed="64"/>
      </patternFill>
    </fill>
  </fills>
  <borders count="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8" fillId="0" borderId="0" applyNumberFormat="0" applyFill="0" applyBorder="0" applyAlignment="0" applyProtection="0"/>
    <xf numFmtId="0" fontId="10" fillId="0" borderId="0"/>
    <xf numFmtId="0" fontId="23" fillId="0" borderId="0"/>
  </cellStyleXfs>
  <cellXfs count="89">
    <xf numFmtId="0" fontId="0" fillId="0" borderId="0" xfId="0"/>
    <xf numFmtId="0" fontId="2" fillId="0" borderId="0" xfId="0" applyFont="1"/>
    <xf numFmtId="0" fontId="1" fillId="0" borderId="0" xfId="0" applyFont="1" applyAlignment="1">
      <alignment horizontal="center" vertical="center"/>
    </xf>
    <xf numFmtId="0" fontId="4" fillId="0" borderId="0" xfId="0" applyFont="1"/>
    <xf numFmtId="0" fontId="0" fillId="0" borderId="0" xfId="0" applyAlignment="1">
      <alignment vertical="center"/>
    </xf>
    <xf numFmtId="0" fontId="1" fillId="0" borderId="0" xfId="0" applyFont="1" applyAlignment="1">
      <alignment vertical="center"/>
    </xf>
    <xf numFmtId="0" fontId="1" fillId="0" borderId="0" xfId="0" applyFont="1" applyAlignment="1">
      <alignment horizontal="center"/>
    </xf>
    <xf numFmtId="0" fontId="0" fillId="0" borderId="0" xfId="0" applyAlignment="1">
      <alignment horizontal="center" vertical="center"/>
    </xf>
    <xf numFmtId="0" fontId="1" fillId="0" borderId="0" xfId="0" applyFont="1"/>
    <xf numFmtId="0" fontId="1" fillId="0" borderId="0" xfId="0" applyFont="1" applyAlignment="1">
      <alignment wrapText="1"/>
    </xf>
    <xf numFmtId="0" fontId="3" fillId="2" borderId="0" xfId="0" applyFont="1" applyFill="1" applyAlignment="1">
      <alignment horizontal="left" vertical="center"/>
    </xf>
    <xf numFmtId="0" fontId="3" fillId="2" borderId="0" xfId="0" applyFont="1" applyFill="1" applyAlignment="1">
      <alignment horizontal="center" vertical="center"/>
    </xf>
    <xf numFmtId="0" fontId="0" fillId="0" borderId="0" xfId="0" applyAlignment="1">
      <alignment horizontal="center"/>
    </xf>
    <xf numFmtId="0" fontId="0" fillId="0" borderId="2" xfId="0" applyFill="1" applyBorder="1" applyAlignment="1">
      <alignment horizontal="center"/>
    </xf>
    <xf numFmtId="14" fontId="0" fillId="0" borderId="2" xfId="0" applyNumberFormat="1" applyFill="1" applyBorder="1" applyAlignment="1">
      <alignment horizontal="center"/>
    </xf>
    <xf numFmtId="0" fontId="0" fillId="0" borderId="2" xfId="0" applyBorder="1" applyAlignment="1">
      <alignment horizontal="center"/>
    </xf>
    <xf numFmtId="0" fontId="9" fillId="0" borderId="0" xfId="0" applyFont="1" applyBorder="1" applyAlignment="1">
      <alignment vertical="center"/>
    </xf>
    <xf numFmtId="15" fontId="9" fillId="0" borderId="0" xfId="0" applyNumberFormat="1" applyFont="1" applyBorder="1" applyAlignment="1">
      <alignment vertical="center"/>
    </xf>
    <xf numFmtId="0" fontId="0" fillId="0" borderId="0" xfId="0" applyBorder="1" applyAlignment="1">
      <alignment horizontal="center"/>
    </xf>
    <xf numFmtId="0" fontId="3" fillId="2" borderId="2" xfId="0" applyFont="1" applyFill="1" applyBorder="1" applyAlignment="1">
      <alignment horizontal="center" vertical="center"/>
    </xf>
    <xf numFmtId="1" fontId="0" fillId="5" borderId="2" xfId="0" applyNumberFormat="1" applyFill="1" applyBorder="1"/>
    <xf numFmtId="0" fontId="0" fillId="5" borderId="2" xfId="0" applyFill="1" applyBorder="1"/>
    <xf numFmtId="164" fontId="0" fillId="5" borderId="2" xfId="0" applyNumberFormat="1" applyFill="1" applyBorder="1"/>
    <xf numFmtId="14" fontId="0" fillId="0" borderId="2" xfId="0" applyNumberFormat="1" applyBorder="1" applyAlignment="1">
      <alignment horizontal="center"/>
    </xf>
    <xf numFmtId="0" fontId="0" fillId="6" borderId="2" xfId="0" applyFill="1" applyBorder="1" applyAlignment="1">
      <alignment horizontal="center"/>
    </xf>
    <xf numFmtId="0" fontId="9" fillId="0" borderId="2" xfId="0" applyFont="1" applyBorder="1" applyAlignment="1">
      <alignment horizontal="center" vertical="center"/>
    </xf>
    <xf numFmtId="0" fontId="11" fillId="0" borderId="2" xfId="0" applyFont="1" applyBorder="1" applyAlignment="1">
      <alignment horizontal="center" readingOrder="1"/>
    </xf>
    <xf numFmtId="0" fontId="11" fillId="0" borderId="2" xfId="0" applyFont="1" applyFill="1" applyBorder="1" applyAlignment="1">
      <alignment horizontal="center" readingOrder="1"/>
    </xf>
    <xf numFmtId="14" fontId="21" fillId="6" borderId="2" xfId="0" applyNumberFormat="1" applyFont="1" applyFill="1" applyBorder="1" applyAlignment="1">
      <alignment horizontal="center" vertical="center"/>
    </xf>
    <xf numFmtId="0" fontId="22" fillId="6" borderId="2" xfId="0" applyFont="1" applyFill="1" applyBorder="1" applyAlignment="1">
      <alignment horizontal="center" vertical="center"/>
    </xf>
    <xf numFmtId="0" fontId="22" fillId="0" borderId="2" xfId="0" applyFont="1" applyBorder="1" applyAlignment="1">
      <alignment horizontal="center" vertical="center"/>
    </xf>
    <xf numFmtId="0" fontId="16" fillId="6" borderId="2" xfId="2" applyFont="1" applyFill="1" applyBorder="1" applyAlignment="1">
      <alignment horizontal="center"/>
    </xf>
    <xf numFmtId="0" fontId="18" fillId="0" borderId="3" xfId="3" applyFont="1" applyBorder="1" applyAlignment="1">
      <alignment horizontal="center" vertical="center" wrapText="1"/>
    </xf>
    <xf numFmtId="15" fontId="18" fillId="6" borderId="2" xfId="2" applyNumberFormat="1" applyFont="1" applyFill="1" applyBorder="1" applyAlignment="1">
      <alignment horizontal="center" vertical="center"/>
    </xf>
    <xf numFmtId="0" fontId="18" fillId="0" borderId="2" xfId="0" applyFont="1" applyBorder="1" applyAlignment="1">
      <alignment horizontal="center" vertical="center" wrapText="1"/>
    </xf>
    <xf numFmtId="14" fontId="11" fillId="0" borderId="2" xfId="0" applyNumberFormat="1" applyFont="1" applyBorder="1" applyAlignment="1">
      <alignment horizontal="center"/>
    </xf>
    <xf numFmtId="0" fontId="11" fillId="6" borderId="2" xfId="0" applyFont="1" applyFill="1" applyBorder="1" applyAlignment="1">
      <alignment horizontal="center"/>
    </xf>
    <xf numFmtId="0" fontId="11" fillId="7" borderId="2" xfId="0" applyFont="1" applyFill="1" applyBorder="1" applyAlignment="1">
      <alignment horizontal="center" vertical="center"/>
    </xf>
    <xf numFmtId="0" fontId="11" fillId="0" borderId="2" xfId="0" applyFont="1" applyBorder="1" applyAlignment="1">
      <alignment horizontal="center"/>
    </xf>
    <xf numFmtId="14" fontId="24" fillId="0" borderId="2" xfId="0" applyNumberFormat="1" applyFont="1" applyBorder="1" applyAlignment="1">
      <alignment horizontal="center" vertical="center"/>
    </xf>
    <xf numFmtId="0" fontId="16" fillId="0" borderId="2" xfId="0" applyFont="1" applyBorder="1" applyAlignment="1">
      <alignment horizontal="center" vertical="center" wrapText="1"/>
    </xf>
    <xf numFmtId="0" fontId="15" fillId="6" borderId="2" xfId="0" applyFont="1" applyFill="1" applyBorder="1" applyAlignment="1">
      <alignment horizontal="center" vertical="center"/>
    </xf>
    <xf numFmtId="0" fontId="15" fillId="0" borderId="2" xfId="0" applyFont="1" applyBorder="1" applyAlignment="1">
      <alignment horizontal="center" vertical="center"/>
    </xf>
    <xf numFmtId="0" fontId="25" fillId="0" borderId="2" xfId="0" applyFont="1" applyBorder="1" applyAlignment="1">
      <alignment horizontal="center" vertical="center" wrapText="1"/>
    </xf>
    <xf numFmtId="0" fontId="24" fillId="0" borderId="2" xfId="0" applyFont="1" applyBorder="1" applyAlignment="1">
      <alignment horizontal="center" vertical="center"/>
    </xf>
    <xf numFmtId="0" fontId="24" fillId="6" borderId="2" xfId="0" applyFont="1" applyFill="1" applyBorder="1" applyAlignment="1">
      <alignment horizontal="center" vertical="center"/>
    </xf>
    <xf numFmtId="14" fontId="11" fillId="6" borderId="2" xfId="0" applyNumberFormat="1" applyFont="1" applyFill="1" applyBorder="1" applyAlignment="1">
      <alignment horizontal="center" vertical="center" wrapText="1"/>
    </xf>
    <xf numFmtId="0" fontId="8" fillId="0" borderId="2" xfId="1" applyFill="1" applyBorder="1" applyAlignment="1">
      <alignment horizontal="center"/>
    </xf>
    <xf numFmtId="0" fontId="0" fillId="0" borderId="2" xfId="0" applyFill="1" applyBorder="1" applyAlignment="1">
      <alignment horizontal="center" vertical="center"/>
    </xf>
    <xf numFmtId="0" fontId="0" fillId="0" borderId="2" xfId="0" quotePrefix="1" applyFill="1" applyBorder="1" applyAlignment="1">
      <alignment horizontal="center"/>
    </xf>
    <xf numFmtId="0" fontId="8" fillId="0" borderId="2" xfId="1" applyBorder="1" applyAlignment="1">
      <alignment horizontal="center"/>
    </xf>
    <xf numFmtId="0" fontId="0" fillId="0" borderId="2" xfId="0" applyBorder="1" applyAlignment="1">
      <alignment horizontal="center" vertical="center"/>
    </xf>
    <xf numFmtId="0" fontId="0" fillId="0" borderId="2" xfId="0" applyNumberFormat="1" applyBorder="1" applyAlignment="1">
      <alignment horizontal="center"/>
    </xf>
    <xf numFmtId="0" fontId="12" fillId="6" borderId="2" xfId="0" applyFont="1" applyFill="1" applyBorder="1" applyAlignment="1">
      <alignment horizontal="center" vertical="center"/>
    </xf>
    <xf numFmtId="14" fontId="0" fillId="6" borderId="2" xfId="0" applyNumberFormat="1" applyFill="1" applyBorder="1" applyAlignment="1">
      <alignment horizontal="center"/>
    </xf>
    <xf numFmtId="0" fontId="0" fillId="6" borderId="2" xfId="0" applyFill="1" applyBorder="1" applyAlignment="1">
      <alignment horizontal="center" vertical="center" wrapText="1"/>
    </xf>
    <xf numFmtId="0" fontId="13" fillId="0" borderId="2" xfId="0" applyNumberFormat="1" applyFont="1" applyFill="1" applyBorder="1" applyAlignment="1">
      <alignment horizontal="center" vertical="top"/>
    </xf>
    <xf numFmtId="14" fontId="13" fillId="0" borderId="2" xfId="0" applyNumberFormat="1" applyFont="1" applyFill="1" applyBorder="1" applyAlignment="1">
      <alignment horizontal="center" vertical="top"/>
    </xf>
    <xf numFmtId="0" fontId="14" fillId="0" borderId="2" xfId="0" applyFont="1" applyBorder="1" applyAlignment="1">
      <alignment horizontal="center"/>
    </xf>
    <xf numFmtId="0" fontId="14" fillId="0" borderId="2" xfId="0" applyFont="1" applyBorder="1" applyAlignment="1">
      <alignment horizontal="center" vertical="center" wrapText="1"/>
    </xf>
    <xf numFmtId="0" fontId="13" fillId="0" borderId="2" xfId="0" applyNumberFormat="1" applyFont="1" applyFill="1" applyBorder="1" applyAlignment="1">
      <alignment horizontal="center" vertical="center"/>
    </xf>
    <xf numFmtId="14" fontId="16" fillId="0" borderId="2" xfId="0" applyNumberFormat="1" applyFont="1" applyBorder="1" applyAlignment="1">
      <alignment horizontal="center" vertical="center" wrapText="1"/>
    </xf>
    <xf numFmtId="0" fontId="11" fillId="0" borderId="2" xfId="0" applyFont="1" applyFill="1" applyBorder="1" applyAlignment="1">
      <alignment horizontal="center"/>
    </xf>
    <xf numFmtId="14" fontId="17" fillId="0" borderId="2" xfId="0" applyNumberFormat="1" applyFont="1" applyBorder="1" applyAlignment="1">
      <alignment horizontal="center"/>
    </xf>
    <xf numFmtId="15" fontId="11" fillId="0" borderId="2" xfId="0" applyNumberFormat="1" applyFont="1" applyBorder="1" applyAlignment="1">
      <alignment horizontal="center"/>
    </xf>
    <xf numFmtId="0" fontId="17" fillId="0" borderId="2" xfId="0" applyFont="1" applyBorder="1" applyAlignment="1">
      <alignment horizontal="center"/>
    </xf>
    <xf numFmtId="0" fontId="17" fillId="0" borderId="2" xfId="0" applyFont="1" applyBorder="1" applyAlignment="1">
      <alignment horizontal="center" vertical="center" wrapText="1"/>
    </xf>
    <xf numFmtId="14" fontId="11" fillId="6" borderId="2" xfId="0" applyNumberFormat="1" applyFont="1" applyFill="1" applyBorder="1" applyAlignment="1">
      <alignment horizontal="center"/>
    </xf>
    <xf numFmtId="15" fontId="11" fillId="6" borderId="2" xfId="0" applyNumberFormat="1" applyFont="1" applyFill="1" applyBorder="1" applyAlignment="1">
      <alignment horizontal="center"/>
    </xf>
    <xf numFmtId="14" fontId="17" fillId="0" borderId="2" xfId="0" applyNumberFormat="1" applyFont="1" applyBorder="1" applyAlignment="1">
      <alignment horizontal="center" vertical="center" wrapText="1"/>
    </xf>
    <xf numFmtId="0" fontId="16" fillId="6" borderId="2" xfId="0" applyFont="1" applyFill="1" applyBorder="1" applyAlignment="1">
      <alignment horizontal="center" vertical="center" wrapText="1"/>
    </xf>
    <xf numFmtId="15" fontId="18" fillId="0" borderId="2" xfId="0" applyNumberFormat="1" applyFont="1" applyFill="1" applyBorder="1" applyAlignment="1">
      <alignment horizontal="center" vertical="center"/>
    </xf>
    <xf numFmtId="0" fontId="16" fillId="0" borderId="2" xfId="0" applyFont="1" applyFill="1" applyBorder="1" applyAlignment="1">
      <alignment horizontal="center" vertical="center" wrapText="1"/>
    </xf>
    <xf numFmtId="0" fontId="11" fillId="0" borderId="2" xfId="0" applyFont="1" applyBorder="1" applyAlignment="1">
      <alignment horizontal="center" vertical="center"/>
    </xf>
    <xf numFmtId="14" fontId="11" fillId="0" borderId="2" xfId="0" applyNumberFormat="1" applyFont="1" applyFill="1" applyBorder="1" applyAlignment="1">
      <alignment horizontal="center"/>
    </xf>
    <xf numFmtId="15" fontId="18" fillId="6" borderId="2" xfId="0" applyNumberFormat="1" applyFont="1" applyFill="1" applyBorder="1" applyAlignment="1">
      <alignment horizontal="center" vertical="center"/>
    </xf>
    <xf numFmtId="0" fontId="19" fillId="0" borderId="2" xfId="0" applyFont="1" applyBorder="1" applyAlignment="1">
      <alignment horizontal="center"/>
    </xf>
    <xf numFmtId="15" fontId="13" fillId="0" borderId="2" xfId="0" applyNumberFormat="1" applyFont="1" applyFill="1" applyBorder="1" applyAlignment="1">
      <alignment horizontal="center" vertical="top"/>
    </xf>
    <xf numFmtId="0" fontId="20" fillId="0" borderId="2" xfId="0" applyFont="1" applyFill="1" applyBorder="1" applyAlignment="1">
      <alignment horizontal="center" vertical="center"/>
    </xf>
    <xf numFmtId="0" fontId="11" fillId="0" borderId="2" xfId="0" applyFont="1" applyFill="1" applyBorder="1" applyAlignment="1">
      <alignment horizontal="center" vertical="center" wrapText="1"/>
    </xf>
    <xf numFmtId="0" fontId="11" fillId="6" borderId="2" xfId="0" applyFont="1" applyFill="1" applyBorder="1" applyAlignment="1">
      <alignment horizontal="center" vertical="center" wrapText="1"/>
    </xf>
    <xf numFmtId="0" fontId="0" fillId="0" borderId="2" xfId="0" applyFont="1" applyFill="1" applyBorder="1" applyAlignment="1">
      <alignment horizontal="center"/>
    </xf>
    <xf numFmtId="14" fontId="0" fillId="0" borderId="2" xfId="0" applyNumberFormat="1" applyFont="1" applyFill="1" applyBorder="1" applyAlignment="1">
      <alignment horizontal="center"/>
    </xf>
    <xf numFmtId="0" fontId="5" fillId="4" borderId="0" xfId="0" applyFont="1" applyFill="1" applyAlignment="1">
      <alignment horizontal="left" vertical="top" wrapText="1"/>
    </xf>
    <xf numFmtId="0" fontId="1" fillId="0" borderId="0" xfId="0" applyFont="1" applyAlignment="1">
      <alignment horizontal="center" vertical="center"/>
    </xf>
    <xf numFmtId="0" fontId="1" fillId="3" borderId="0" xfId="0" applyFont="1" applyFill="1" applyAlignment="1">
      <alignment horizontal="center" vertical="center"/>
    </xf>
    <xf numFmtId="0" fontId="1" fillId="3" borderId="1" xfId="0" applyFont="1" applyFill="1" applyBorder="1" applyAlignment="1">
      <alignment horizontal="center" vertical="center"/>
    </xf>
    <xf numFmtId="0" fontId="6" fillId="0" borderId="0" xfId="0" applyFont="1" applyAlignment="1">
      <alignment horizontal="left" vertical="top" wrapText="1"/>
    </xf>
    <xf numFmtId="0" fontId="7" fillId="0" borderId="0" xfId="0" applyFont="1" applyAlignment="1">
      <alignment horizontal="left" vertical="top" wrapText="1"/>
    </xf>
  </cellXfs>
  <cellStyles count="4">
    <cellStyle name="Hyperlink" xfId="1" builtinId="8"/>
    <cellStyle name="Normal" xfId="0" builtinId="0"/>
    <cellStyle name="Normal 2 3" xfId="2"/>
    <cellStyle name="Normal 6 2" xfId="3"/>
  </cellStyles>
  <dxfs count="140">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2" defaultPivotStyle="PivotStyleLight16"/>
  <colors>
    <mruColors>
      <color rgb="FF99CC99"/>
      <color rgb="FF045C4C"/>
      <color rgb="FF3BDBCA"/>
      <color rgb="FF00628B"/>
      <color rgb="FF6599FF"/>
      <color rgb="FF097054"/>
      <color rgb="FF2C6700"/>
      <color rgb="FF0F3B5F"/>
      <color rgb="FF3333FF"/>
      <color rgb="FF00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296289</xdr:colOff>
      <xdr:row>15</xdr:row>
      <xdr:rowOff>6065</xdr:rowOff>
    </xdr:from>
    <xdr:to>
      <xdr:col>18</xdr:col>
      <xdr:colOff>36443</xdr:colOff>
      <xdr:row>27</xdr:row>
      <xdr:rowOff>47625</xdr:rowOff>
    </xdr:to>
    <xdr:grpSp>
      <xdr:nvGrpSpPr>
        <xdr:cNvPr id="13" name="Group 12">
          <a:extLst>
            <a:ext uri="{FF2B5EF4-FFF2-40B4-BE49-F238E27FC236}">
              <a16:creationId xmlns:a16="http://schemas.microsoft.com/office/drawing/2014/main" id="{020A2598-51C0-E808-4B33-7CC96F56FB12}"/>
            </a:ext>
          </a:extLst>
        </xdr:cNvPr>
        <xdr:cNvGrpSpPr/>
      </xdr:nvGrpSpPr>
      <xdr:grpSpPr>
        <a:xfrm>
          <a:off x="15917289" y="3990690"/>
          <a:ext cx="3518404" cy="2899060"/>
          <a:chOff x="18631914" y="3673190"/>
          <a:chExt cx="3835904" cy="2740310"/>
        </a:xfrm>
      </xdr:grpSpPr>
      <xdr:sp macro="[0]!IncompleteDataAdditionsSheet" textlink="">
        <xdr:nvSpPr>
          <xdr:cNvPr id="3" name="Missing_Data">
            <a:extLst>
              <a:ext uri="{FF2B5EF4-FFF2-40B4-BE49-F238E27FC236}">
                <a16:creationId xmlns:a16="http://schemas.microsoft.com/office/drawing/2014/main" id="{64F95290-7E65-B482-C32E-FE3F5331CE15}"/>
              </a:ext>
            </a:extLst>
          </xdr:cNvPr>
          <xdr:cNvSpPr/>
        </xdr:nvSpPr>
        <xdr:spPr>
          <a:xfrm>
            <a:off x="19108838" y="4239409"/>
            <a:ext cx="2882057" cy="312770"/>
          </a:xfrm>
          <a:prstGeom prst="roundRect">
            <a:avLst/>
          </a:prstGeom>
          <a:solidFill>
            <a:srgbClr val="333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1. Check for Missing Data</a:t>
            </a:r>
          </a:p>
        </xdr:txBody>
      </xdr:sp>
      <xdr:sp macro="[0]!WrongDataFormatAdditionsSheet" textlink="">
        <xdr:nvSpPr>
          <xdr:cNvPr id="4" name="Format_Error">
            <a:extLst>
              <a:ext uri="{FF2B5EF4-FFF2-40B4-BE49-F238E27FC236}">
                <a16:creationId xmlns:a16="http://schemas.microsoft.com/office/drawing/2014/main" id="{BA803F12-584D-4D4A-54AC-C680010F07B4}"/>
              </a:ext>
            </a:extLst>
          </xdr:cNvPr>
          <xdr:cNvSpPr/>
        </xdr:nvSpPr>
        <xdr:spPr>
          <a:xfrm>
            <a:off x="19108838" y="4929907"/>
            <a:ext cx="2882057" cy="310896"/>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2.</a:t>
            </a:r>
            <a:r>
              <a:rPr lang="en-IN" sz="1200" b="1" baseline="0">
                <a:solidFill>
                  <a:schemeClr val="lt1"/>
                </a:solidFill>
                <a:latin typeface="+mn-lt"/>
                <a:ea typeface="+mn-ea"/>
                <a:cs typeface="+mn-cs"/>
              </a:rPr>
              <a:t> Check for Data Entry Error</a:t>
            </a:r>
            <a:endParaRPr lang="en-IN" sz="1200" b="1">
              <a:solidFill>
                <a:schemeClr val="lt1"/>
              </a:solidFill>
              <a:latin typeface="+mn-lt"/>
              <a:ea typeface="+mn-ea"/>
              <a:cs typeface="+mn-cs"/>
            </a:endParaRPr>
          </a:p>
        </xdr:txBody>
      </xdr:sp>
      <xdr:sp macro="[0]!duplicateDataAdditionsSheet" textlink="">
        <xdr:nvSpPr>
          <xdr:cNvPr id="5" name="Duplicate_Data">
            <a:extLst>
              <a:ext uri="{FF2B5EF4-FFF2-40B4-BE49-F238E27FC236}">
                <a16:creationId xmlns:a16="http://schemas.microsoft.com/office/drawing/2014/main" id="{81618B31-671E-D7F0-887E-B908F05651AE}"/>
              </a:ext>
            </a:extLst>
          </xdr:cNvPr>
          <xdr:cNvSpPr/>
        </xdr:nvSpPr>
        <xdr:spPr>
          <a:xfrm>
            <a:off x="19108838" y="5620405"/>
            <a:ext cx="2882057" cy="312770"/>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3. Check for</a:t>
            </a:r>
            <a:r>
              <a:rPr lang="en-IN" sz="1200" b="1" baseline="0">
                <a:solidFill>
                  <a:schemeClr val="lt1"/>
                </a:solidFill>
                <a:latin typeface="+mn-lt"/>
                <a:ea typeface="+mn-ea"/>
                <a:cs typeface="+mn-cs"/>
              </a:rPr>
              <a:t> Duplicate Data</a:t>
            </a:r>
            <a:endParaRPr lang="en-IN" sz="1200" b="1">
              <a:solidFill>
                <a:schemeClr val="lt1"/>
              </a:solidFill>
              <a:latin typeface="+mn-lt"/>
              <a:ea typeface="+mn-ea"/>
              <a:cs typeface="+mn-cs"/>
            </a:endParaRPr>
          </a:p>
        </xdr:txBody>
      </xdr:sp>
      <xdr:sp macro="" textlink="">
        <xdr:nvSpPr>
          <xdr:cNvPr id="10" name="Rectangle 9">
            <a:extLst>
              <a:ext uri="{FF2B5EF4-FFF2-40B4-BE49-F238E27FC236}">
                <a16:creationId xmlns:a16="http://schemas.microsoft.com/office/drawing/2014/main" id="{A1E01D56-BC6D-1B0C-6283-B3B2453E6365}"/>
              </a:ext>
            </a:extLst>
          </xdr:cNvPr>
          <xdr:cNvSpPr/>
        </xdr:nvSpPr>
        <xdr:spPr>
          <a:xfrm>
            <a:off x="18631914" y="3816540"/>
            <a:ext cx="3835904" cy="2596960"/>
          </a:xfrm>
          <a:prstGeom prst="rect">
            <a:avLst/>
          </a:prstGeom>
          <a:noFill/>
          <a:ln w="57150">
            <a:solidFill>
              <a:srgbClr val="09705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TextBox 10">
            <a:extLst>
              <a:ext uri="{FF2B5EF4-FFF2-40B4-BE49-F238E27FC236}">
                <a16:creationId xmlns:a16="http://schemas.microsoft.com/office/drawing/2014/main" id="{53D472FF-F705-98F2-5DE8-B273DD781ACB}"/>
              </a:ext>
            </a:extLst>
          </xdr:cNvPr>
          <xdr:cNvSpPr txBox="1"/>
        </xdr:nvSpPr>
        <xdr:spPr>
          <a:xfrm>
            <a:off x="19642170" y="3673190"/>
            <a:ext cx="1964107" cy="2432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097054"/>
                </a:solidFill>
              </a:rPr>
              <a:t>Validation</a:t>
            </a:r>
            <a:r>
              <a:rPr lang="en-IN" sz="1400" b="1" baseline="0">
                <a:solidFill>
                  <a:srgbClr val="097054"/>
                </a:solidFill>
              </a:rPr>
              <a:t> Check</a:t>
            </a:r>
            <a:endParaRPr lang="en-IN" sz="1400" b="1">
              <a:solidFill>
                <a:srgbClr val="097054"/>
              </a:solidFill>
            </a:endParaRPr>
          </a:p>
        </xdr:txBody>
      </xdr:sp>
    </xdr:grpSp>
    <xdr:clientData/>
  </xdr:twoCellAnchor>
  <xdr:twoCellAnchor editAs="oneCell">
    <xdr:from>
      <xdr:col>1</xdr:col>
      <xdr:colOff>307183</xdr:colOff>
      <xdr:row>3</xdr:row>
      <xdr:rowOff>18457</xdr:rowOff>
    </xdr:from>
    <xdr:to>
      <xdr:col>1</xdr:col>
      <xdr:colOff>1543052</xdr:colOff>
      <xdr:row>5</xdr:row>
      <xdr:rowOff>64520</xdr:rowOff>
    </xdr:to>
    <xdr:pic>
      <xdr:nvPicPr>
        <xdr:cNvPr id="8" name="Graphic 7">
          <a:extLst>
            <a:ext uri="{FF2B5EF4-FFF2-40B4-BE49-F238E27FC236}">
              <a16:creationId xmlns:a16="http://schemas.microsoft.com/office/drawing/2014/main" id="{083B7FE7-24FD-6333-D04D-DAD08830FB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557214" y="911426"/>
          <a:ext cx="1235869" cy="641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89914</xdr:colOff>
      <xdr:row>14</xdr:row>
      <xdr:rowOff>6065</xdr:rowOff>
    </xdr:from>
    <xdr:to>
      <xdr:col>11</xdr:col>
      <xdr:colOff>988943</xdr:colOff>
      <xdr:row>20</xdr:row>
      <xdr:rowOff>158750</xdr:rowOff>
    </xdr:to>
    <xdr:grpSp>
      <xdr:nvGrpSpPr>
        <xdr:cNvPr id="10" name="Group 9">
          <a:extLst>
            <a:ext uri="{FF2B5EF4-FFF2-40B4-BE49-F238E27FC236}">
              <a16:creationId xmlns:a16="http://schemas.microsoft.com/office/drawing/2014/main" id="{697E8D1C-7473-FC41-BEB5-81B3F3705258}"/>
            </a:ext>
          </a:extLst>
        </xdr:cNvPr>
        <xdr:cNvGrpSpPr/>
      </xdr:nvGrpSpPr>
      <xdr:grpSpPr>
        <a:xfrm>
          <a:off x="11869164" y="3490628"/>
          <a:ext cx="3581904" cy="1255997"/>
          <a:chOff x="12948664" y="3673190"/>
          <a:chExt cx="3835904" cy="1311560"/>
        </a:xfrm>
      </xdr:grpSpPr>
      <xdr:sp macro="[0]!IncompleteDataDeletionSheet" textlink="">
        <xdr:nvSpPr>
          <xdr:cNvPr id="3" name="Missing_Data">
            <a:extLst>
              <a:ext uri="{FF2B5EF4-FFF2-40B4-BE49-F238E27FC236}">
                <a16:creationId xmlns:a16="http://schemas.microsoft.com/office/drawing/2014/main" id="{96589DEB-593B-B5C2-DB41-6FE2C91C35D1}"/>
              </a:ext>
            </a:extLst>
          </xdr:cNvPr>
          <xdr:cNvSpPr/>
        </xdr:nvSpPr>
        <xdr:spPr>
          <a:xfrm>
            <a:off x="13425588" y="4239409"/>
            <a:ext cx="2882057" cy="312770"/>
          </a:xfrm>
          <a:prstGeom prst="roundRect">
            <a:avLst/>
          </a:prstGeom>
          <a:solidFill>
            <a:srgbClr val="333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1. Check for Missing Data</a:t>
            </a:r>
          </a:p>
        </xdr:txBody>
      </xdr:sp>
      <xdr:sp macro="" textlink="">
        <xdr:nvSpPr>
          <xdr:cNvPr id="6" name="Rectangle 5">
            <a:extLst>
              <a:ext uri="{FF2B5EF4-FFF2-40B4-BE49-F238E27FC236}">
                <a16:creationId xmlns:a16="http://schemas.microsoft.com/office/drawing/2014/main" id="{EC9F305F-45FF-DCE2-7997-1013C787E627}"/>
              </a:ext>
            </a:extLst>
          </xdr:cNvPr>
          <xdr:cNvSpPr/>
        </xdr:nvSpPr>
        <xdr:spPr>
          <a:xfrm>
            <a:off x="12948664" y="3816540"/>
            <a:ext cx="3835904" cy="1168210"/>
          </a:xfrm>
          <a:prstGeom prst="rect">
            <a:avLst/>
          </a:prstGeom>
          <a:noFill/>
          <a:ln w="57150">
            <a:solidFill>
              <a:srgbClr val="09705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TextBox 6">
            <a:extLst>
              <a:ext uri="{FF2B5EF4-FFF2-40B4-BE49-F238E27FC236}">
                <a16:creationId xmlns:a16="http://schemas.microsoft.com/office/drawing/2014/main" id="{767E8326-FC8E-FD4E-6ED5-B7A16047B93D}"/>
              </a:ext>
            </a:extLst>
          </xdr:cNvPr>
          <xdr:cNvSpPr txBox="1"/>
        </xdr:nvSpPr>
        <xdr:spPr>
          <a:xfrm>
            <a:off x="13958920" y="3673190"/>
            <a:ext cx="1964107" cy="2432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097054"/>
                </a:solidFill>
              </a:rPr>
              <a:t>Validation</a:t>
            </a:r>
            <a:r>
              <a:rPr lang="en-IN" sz="1400" b="1" baseline="0">
                <a:solidFill>
                  <a:srgbClr val="097054"/>
                </a:solidFill>
              </a:rPr>
              <a:t> Check</a:t>
            </a:r>
            <a:endParaRPr lang="en-IN" sz="1400" b="1">
              <a:solidFill>
                <a:srgbClr val="097054"/>
              </a:solidFill>
            </a:endParaRPr>
          </a:p>
        </xdr:txBody>
      </xdr:sp>
    </xdr:grpSp>
    <xdr:clientData/>
  </xdr:twoCellAnchor>
  <xdr:twoCellAnchor editAs="oneCell">
    <xdr:from>
      <xdr:col>1</xdr:col>
      <xdr:colOff>307183</xdr:colOff>
      <xdr:row>3</xdr:row>
      <xdr:rowOff>18457</xdr:rowOff>
    </xdr:from>
    <xdr:to>
      <xdr:col>1</xdr:col>
      <xdr:colOff>1543052</xdr:colOff>
      <xdr:row>5</xdr:row>
      <xdr:rowOff>64520</xdr:rowOff>
    </xdr:to>
    <xdr:pic>
      <xdr:nvPicPr>
        <xdr:cNvPr id="8" name="Graphic 7">
          <a:extLst>
            <a:ext uri="{FF2B5EF4-FFF2-40B4-BE49-F238E27FC236}">
              <a16:creationId xmlns:a16="http://schemas.microsoft.com/office/drawing/2014/main" id="{F888CB24-62A4-5145-93BE-6E10F026DF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586583" y="894757"/>
          <a:ext cx="1235869" cy="6302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26414</xdr:colOff>
      <xdr:row>15</xdr:row>
      <xdr:rowOff>6065</xdr:rowOff>
    </xdr:from>
    <xdr:to>
      <xdr:col>11</xdr:col>
      <xdr:colOff>925443</xdr:colOff>
      <xdr:row>21</xdr:row>
      <xdr:rowOff>142875</xdr:rowOff>
    </xdr:to>
    <xdr:grpSp>
      <xdr:nvGrpSpPr>
        <xdr:cNvPr id="10" name="Group 9">
          <a:extLst>
            <a:ext uri="{FF2B5EF4-FFF2-40B4-BE49-F238E27FC236}">
              <a16:creationId xmlns:a16="http://schemas.microsoft.com/office/drawing/2014/main" id="{F5E1CB5A-8C7E-EF86-0D4B-E0E8564E99E7}"/>
            </a:ext>
          </a:extLst>
        </xdr:cNvPr>
        <xdr:cNvGrpSpPr/>
      </xdr:nvGrpSpPr>
      <xdr:grpSpPr>
        <a:xfrm>
          <a:off x="12139039" y="3673190"/>
          <a:ext cx="3581904" cy="1240123"/>
          <a:chOff x="13250289" y="3673190"/>
          <a:chExt cx="3835904" cy="1295685"/>
        </a:xfrm>
      </xdr:grpSpPr>
      <xdr:sp macro="[0]!IncompleteDataCorrectionSheet" textlink="">
        <xdr:nvSpPr>
          <xdr:cNvPr id="3" name="Missing_Data">
            <a:extLst>
              <a:ext uri="{FF2B5EF4-FFF2-40B4-BE49-F238E27FC236}">
                <a16:creationId xmlns:a16="http://schemas.microsoft.com/office/drawing/2014/main" id="{2ABC56CD-B37B-5AE6-4591-22E8DC28D1E0}"/>
              </a:ext>
            </a:extLst>
          </xdr:cNvPr>
          <xdr:cNvSpPr/>
        </xdr:nvSpPr>
        <xdr:spPr>
          <a:xfrm>
            <a:off x="13727213" y="4239409"/>
            <a:ext cx="2882057" cy="312770"/>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1. Check for Missing Data</a:t>
            </a:r>
          </a:p>
        </xdr:txBody>
      </xdr:sp>
      <xdr:sp macro="" textlink="">
        <xdr:nvSpPr>
          <xdr:cNvPr id="6" name="Rectangle 5">
            <a:extLst>
              <a:ext uri="{FF2B5EF4-FFF2-40B4-BE49-F238E27FC236}">
                <a16:creationId xmlns:a16="http://schemas.microsoft.com/office/drawing/2014/main" id="{A20702B9-735B-28B4-CC54-FAFC8DD94BFD}"/>
              </a:ext>
            </a:extLst>
          </xdr:cNvPr>
          <xdr:cNvSpPr/>
        </xdr:nvSpPr>
        <xdr:spPr>
          <a:xfrm>
            <a:off x="13250289" y="3816540"/>
            <a:ext cx="3835904" cy="1152335"/>
          </a:xfrm>
          <a:prstGeom prst="rect">
            <a:avLst/>
          </a:prstGeom>
          <a:noFill/>
          <a:ln w="57150">
            <a:solidFill>
              <a:srgbClr val="09705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TextBox 6">
            <a:extLst>
              <a:ext uri="{FF2B5EF4-FFF2-40B4-BE49-F238E27FC236}">
                <a16:creationId xmlns:a16="http://schemas.microsoft.com/office/drawing/2014/main" id="{0B363949-804A-D676-DB17-0DC4F839B8AC}"/>
              </a:ext>
            </a:extLst>
          </xdr:cNvPr>
          <xdr:cNvSpPr txBox="1"/>
        </xdr:nvSpPr>
        <xdr:spPr>
          <a:xfrm>
            <a:off x="14260545" y="3673190"/>
            <a:ext cx="1964107" cy="2432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097054"/>
                </a:solidFill>
              </a:rPr>
              <a:t>Validation</a:t>
            </a:r>
            <a:r>
              <a:rPr lang="en-IN" sz="1400" b="1" baseline="0">
                <a:solidFill>
                  <a:srgbClr val="097054"/>
                </a:solidFill>
              </a:rPr>
              <a:t> Check</a:t>
            </a:r>
            <a:endParaRPr lang="en-IN" sz="1400" b="1">
              <a:solidFill>
                <a:srgbClr val="097054"/>
              </a:solidFill>
            </a:endParaRPr>
          </a:p>
        </xdr:txBody>
      </xdr:sp>
    </xdr:grpSp>
    <xdr:clientData/>
  </xdr:twoCellAnchor>
  <xdr:twoCellAnchor editAs="oneCell">
    <xdr:from>
      <xdr:col>1</xdr:col>
      <xdr:colOff>307183</xdr:colOff>
      <xdr:row>3</xdr:row>
      <xdr:rowOff>18457</xdr:rowOff>
    </xdr:from>
    <xdr:to>
      <xdr:col>1</xdr:col>
      <xdr:colOff>1543052</xdr:colOff>
      <xdr:row>5</xdr:row>
      <xdr:rowOff>64520</xdr:rowOff>
    </xdr:to>
    <xdr:pic>
      <xdr:nvPicPr>
        <xdr:cNvPr id="8" name="Graphic 7">
          <a:extLst>
            <a:ext uri="{FF2B5EF4-FFF2-40B4-BE49-F238E27FC236}">
              <a16:creationId xmlns:a16="http://schemas.microsoft.com/office/drawing/2014/main" id="{AFA6480A-93E9-AD4A-B943-EB0A83EC900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586583" y="894757"/>
          <a:ext cx="1235869" cy="6302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thakurashish12591@gmail.com" TargetMode="External"/><Relationship Id="rId13" Type="http://schemas.openxmlformats.org/officeDocument/2006/relationships/drawing" Target="../drawings/drawing1.xml"/><Relationship Id="rId3" Type="http://schemas.openxmlformats.org/officeDocument/2006/relationships/hyperlink" Target="mailto:ak.ankit921@gmail.com" TargetMode="External"/><Relationship Id="rId7" Type="http://schemas.openxmlformats.org/officeDocument/2006/relationships/hyperlink" Target="mailto:kumaranshul7455123@gmail.com" TargetMode="External"/><Relationship Id="rId12" Type="http://schemas.openxmlformats.org/officeDocument/2006/relationships/printerSettings" Target="../printerSettings/printerSettings1.bin"/><Relationship Id="rId2" Type="http://schemas.openxmlformats.org/officeDocument/2006/relationships/hyperlink" Target="mailto:roshanlal20018@gmail.com" TargetMode="External"/><Relationship Id="rId1" Type="http://schemas.openxmlformats.org/officeDocument/2006/relationships/hyperlink" Target="mailto:thakuranoop4516@gmail.com" TargetMode="External"/><Relationship Id="rId6" Type="http://schemas.openxmlformats.org/officeDocument/2006/relationships/hyperlink" Target="mailto:sonuthakur000487@gmail.com" TargetMode="External"/><Relationship Id="rId11" Type="http://schemas.openxmlformats.org/officeDocument/2006/relationships/hyperlink" Target="javascript:void(0);" TargetMode="External"/><Relationship Id="rId5" Type="http://schemas.openxmlformats.org/officeDocument/2006/relationships/hyperlink" Target="mailto:kuldeepthakur3312@gmail.com" TargetMode="External"/><Relationship Id="rId10" Type="http://schemas.openxmlformats.org/officeDocument/2006/relationships/hyperlink" Target="mailto:maneesht13@gmail.com" TargetMode="External"/><Relationship Id="rId4" Type="http://schemas.openxmlformats.org/officeDocument/2006/relationships/hyperlink" Target="mailto:mukesh258303@gmail.com" TargetMode="External"/><Relationship Id="rId9" Type="http://schemas.openxmlformats.org/officeDocument/2006/relationships/hyperlink" Target="mailto:sanjeevpatial78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152"/>
  <sheetViews>
    <sheetView showGridLines="0" topLeftCell="B94" zoomScale="80" zoomScaleNormal="80" workbookViewId="0">
      <selection activeCell="D9" sqref="D9:M120"/>
    </sheetView>
  </sheetViews>
  <sheetFormatPr defaultColWidth="8.81640625" defaultRowHeight="14.5"/>
  <cols>
    <col min="1" max="1" width="3.7265625" customWidth="1"/>
    <col min="2" max="2" width="27.453125" customWidth="1"/>
    <col min="3" max="3" width="3.7265625" customWidth="1"/>
    <col min="4" max="4" width="13.26953125" style="12" customWidth="1"/>
    <col min="5" max="5" width="23.453125" customWidth="1"/>
    <col min="6" max="6" width="11.453125" style="12" customWidth="1"/>
    <col min="7" max="7" width="15.26953125" style="12" customWidth="1"/>
    <col min="8" max="8" width="16.7265625" style="12" bestFit="1" customWidth="1"/>
    <col min="9" max="9" width="10.1796875" style="12" customWidth="1"/>
    <col min="10" max="10" width="17.26953125" style="12" customWidth="1"/>
    <col min="11" max="11" width="33.7265625" style="12" customWidth="1"/>
    <col min="12" max="12" width="19" style="12" customWidth="1"/>
    <col min="13" max="13" width="17.81640625" style="12" customWidth="1"/>
    <col min="14" max="14" width="10.453125" customWidth="1"/>
    <col min="17" max="17" width="17.453125" customWidth="1"/>
    <col min="18" max="18" width="18.81640625" bestFit="1" customWidth="1"/>
    <col min="19" max="19" width="11.81640625" customWidth="1"/>
  </cols>
  <sheetData>
    <row r="1" spans="2:15" ht="23.25" customHeight="1">
      <c r="C1" s="9"/>
      <c r="D1" s="83" t="s">
        <v>41</v>
      </c>
      <c r="E1" s="83"/>
      <c r="F1" s="83"/>
      <c r="G1" s="83"/>
      <c r="H1" s="83"/>
      <c r="I1" s="83"/>
      <c r="J1" s="83"/>
      <c r="K1" s="83"/>
      <c r="L1" s="83"/>
      <c r="M1" s="83"/>
    </row>
    <row r="2" spans="2:15" ht="23.25" customHeight="1">
      <c r="D2" s="87" t="s">
        <v>51</v>
      </c>
      <c r="E2" s="88"/>
      <c r="F2" s="88"/>
      <c r="G2" s="88"/>
      <c r="H2" s="88"/>
      <c r="I2" s="88"/>
      <c r="J2" s="88"/>
      <c r="K2" s="88"/>
      <c r="L2" s="88"/>
      <c r="O2" s="3"/>
    </row>
    <row r="3" spans="2:15" ht="23.25" customHeight="1">
      <c r="D3" s="88"/>
      <c r="E3" s="88"/>
      <c r="F3" s="88"/>
      <c r="G3" s="88"/>
      <c r="H3" s="88"/>
      <c r="I3" s="88"/>
      <c r="J3" s="88"/>
      <c r="K3" s="88"/>
      <c r="L3" s="88"/>
      <c r="O3" s="3"/>
    </row>
    <row r="4" spans="2:15" ht="23.25" customHeight="1">
      <c r="D4" s="88"/>
      <c r="E4" s="88"/>
      <c r="F4" s="88"/>
      <c r="G4" s="88"/>
      <c r="H4" s="88"/>
      <c r="I4" s="88"/>
      <c r="J4" s="88"/>
      <c r="K4" s="88"/>
      <c r="L4" s="88"/>
    </row>
    <row r="5" spans="2:15" ht="23.25" customHeight="1">
      <c r="D5" s="88"/>
      <c r="E5" s="88"/>
      <c r="F5" s="88"/>
      <c r="G5" s="88"/>
      <c r="H5" s="88"/>
      <c r="I5" s="88"/>
      <c r="J5" s="88"/>
      <c r="K5" s="88"/>
      <c r="L5" s="88"/>
    </row>
    <row r="6" spans="2:15" ht="23.25" customHeight="1">
      <c r="D6" s="88"/>
      <c r="E6" s="88"/>
      <c r="F6" s="88"/>
      <c r="G6" s="88"/>
      <c r="H6" s="88"/>
      <c r="I6" s="88"/>
      <c r="J6" s="88"/>
      <c r="K6" s="88"/>
      <c r="L6" s="88"/>
    </row>
    <row r="7" spans="2:15" ht="23.25" customHeight="1">
      <c r="D7" s="88"/>
      <c r="E7" s="88"/>
      <c r="F7" s="88"/>
      <c r="G7" s="88"/>
      <c r="H7" s="88"/>
      <c r="I7" s="88"/>
      <c r="J7" s="88"/>
      <c r="K7" s="88"/>
      <c r="L7" s="88"/>
    </row>
    <row r="8" spans="2:15" ht="23.25" customHeight="1">
      <c r="D8" s="88"/>
      <c r="E8" s="88"/>
      <c r="F8" s="88"/>
      <c r="G8" s="88"/>
      <c r="H8" s="88"/>
      <c r="I8" s="88"/>
      <c r="J8" s="88"/>
      <c r="K8" s="88"/>
      <c r="L8" s="88"/>
    </row>
    <row r="9" spans="2:15" ht="16.5">
      <c r="B9" s="85" t="s">
        <v>42</v>
      </c>
      <c r="D9" s="11" t="s">
        <v>0</v>
      </c>
      <c r="E9" s="10" t="s">
        <v>1</v>
      </c>
      <c r="F9" s="11" t="s">
        <v>2</v>
      </c>
      <c r="G9" s="11" t="s">
        <v>44</v>
      </c>
      <c r="H9" s="11" t="s">
        <v>43</v>
      </c>
      <c r="I9" s="11" t="s">
        <v>3</v>
      </c>
      <c r="J9" s="11" t="s">
        <v>4</v>
      </c>
      <c r="K9" s="19" t="s">
        <v>5</v>
      </c>
      <c r="L9" s="11" t="s">
        <v>6</v>
      </c>
      <c r="M9" s="11" t="s">
        <v>45</v>
      </c>
      <c r="N9" s="1"/>
    </row>
    <row r="10" spans="2:15" ht="18.75" customHeight="1" thickBot="1">
      <c r="B10" s="86"/>
      <c r="D10" s="13">
        <v>31387</v>
      </c>
      <c r="E10" s="13" t="s">
        <v>52</v>
      </c>
      <c r="F10" s="13" t="s">
        <v>7</v>
      </c>
      <c r="G10" s="14">
        <v>34764</v>
      </c>
      <c r="H10" s="14">
        <v>45464</v>
      </c>
      <c r="I10" s="13" t="s">
        <v>23</v>
      </c>
      <c r="J10" s="13">
        <v>300000</v>
      </c>
      <c r="K10" s="47" t="s">
        <v>55</v>
      </c>
      <c r="L10" s="13" t="s">
        <v>56</v>
      </c>
      <c r="M10" s="48">
        <v>436938</v>
      </c>
    </row>
    <row r="11" spans="2:15" ht="18.75" customHeight="1">
      <c r="B11" s="84">
        <f>COUNTA(F10:F1048576)</f>
        <v>111</v>
      </c>
      <c r="D11" s="13">
        <v>31388</v>
      </c>
      <c r="E11" s="13" t="s">
        <v>57</v>
      </c>
      <c r="F11" s="13" t="s">
        <v>7</v>
      </c>
      <c r="G11" s="14">
        <v>32604</v>
      </c>
      <c r="H11" s="14">
        <v>45477</v>
      </c>
      <c r="I11" s="13" t="s">
        <v>23</v>
      </c>
      <c r="J11" s="13">
        <v>300000</v>
      </c>
      <c r="K11" s="47" t="s">
        <v>58</v>
      </c>
      <c r="L11" s="13">
        <v>9817249271</v>
      </c>
      <c r="M11" s="48">
        <v>471958</v>
      </c>
    </row>
    <row r="12" spans="2:15" ht="18.75" customHeight="1">
      <c r="B12" s="84"/>
      <c r="D12" s="25">
        <f t="shared" ref="D12:D14" si="0">D11</f>
        <v>31388</v>
      </c>
      <c r="E12" s="25" t="s">
        <v>59</v>
      </c>
      <c r="F12" s="15" t="s">
        <v>10</v>
      </c>
      <c r="G12" s="23">
        <v>33366</v>
      </c>
      <c r="H12" s="14"/>
      <c r="I12" s="13" t="s">
        <v>22</v>
      </c>
      <c r="J12" s="13"/>
      <c r="K12" s="47"/>
      <c r="L12" s="49"/>
      <c r="M12" s="48"/>
    </row>
    <row r="13" spans="2:15" ht="18.75" customHeight="1">
      <c r="B13" s="8"/>
      <c r="D13" s="13">
        <f t="shared" si="0"/>
        <v>31388</v>
      </c>
      <c r="E13" s="13" t="s">
        <v>60</v>
      </c>
      <c r="F13" s="13" t="s">
        <v>12</v>
      </c>
      <c r="G13" s="14">
        <v>42099</v>
      </c>
      <c r="H13" s="14"/>
      <c r="I13" s="13" t="s">
        <v>22</v>
      </c>
      <c r="J13" s="13"/>
      <c r="K13" s="13"/>
      <c r="L13" s="13"/>
      <c r="M13" s="48"/>
    </row>
    <row r="14" spans="2:15" ht="18.75" customHeight="1">
      <c r="B14" s="85" t="s">
        <v>15</v>
      </c>
      <c r="C14" s="2"/>
      <c r="D14" s="15">
        <f t="shared" si="0"/>
        <v>31388</v>
      </c>
      <c r="E14" s="13" t="s">
        <v>61</v>
      </c>
      <c r="F14" s="15" t="s">
        <v>11</v>
      </c>
      <c r="G14" s="23">
        <v>42863</v>
      </c>
      <c r="H14" s="23"/>
      <c r="I14" s="15" t="s">
        <v>23</v>
      </c>
      <c r="J14" s="15"/>
      <c r="K14" s="50"/>
      <c r="L14" s="15"/>
      <c r="M14" s="15"/>
    </row>
    <row r="15" spans="2:15" ht="18.75" customHeight="1" thickBot="1">
      <c r="B15" s="86"/>
      <c r="C15" s="2"/>
      <c r="D15" s="13">
        <v>31389</v>
      </c>
      <c r="E15" s="13" t="s">
        <v>62</v>
      </c>
      <c r="F15" s="13" t="s">
        <v>7</v>
      </c>
      <c r="G15" s="14">
        <v>33735</v>
      </c>
      <c r="H15" s="23">
        <v>45477</v>
      </c>
      <c r="I15" s="13" t="s">
        <v>23</v>
      </c>
      <c r="J15" s="13">
        <v>300000</v>
      </c>
      <c r="K15" s="47" t="s">
        <v>63</v>
      </c>
      <c r="L15" s="13">
        <v>8219846696</v>
      </c>
      <c r="M15" s="48">
        <v>388318</v>
      </c>
    </row>
    <row r="16" spans="2:15" ht="18.75" customHeight="1">
      <c r="B16" s="84">
        <f>SUM(COUNTIF($F$10:$F$15483,"Self"),COUNTIF($F$10:$F$15484,"Employee"),COUNTIF($F$10:$F$15484,"Emp"))</f>
        <v>63</v>
      </c>
      <c r="C16" s="5"/>
      <c r="D16" s="25">
        <v>31390</v>
      </c>
      <c r="E16" s="25" t="s">
        <v>64</v>
      </c>
      <c r="F16" s="13" t="s">
        <v>7</v>
      </c>
      <c r="G16" s="14">
        <v>36124</v>
      </c>
      <c r="H16" s="23">
        <v>45478</v>
      </c>
      <c r="I16" s="13" t="s">
        <v>23</v>
      </c>
      <c r="J16" s="13">
        <v>300000</v>
      </c>
      <c r="K16" s="47" t="s">
        <v>65</v>
      </c>
      <c r="L16" s="13">
        <v>9882694453</v>
      </c>
      <c r="M16" s="48">
        <v>288254</v>
      </c>
    </row>
    <row r="17" spans="2:14" ht="18.75" customHeight="1">
      <c r="B17" s="84"/>
      <c r="C17" s="2"/>
      <c r="D17" s="15">
        <v>31391</v>
      </c>
      <c r="E17" s="13" t="s">
        <v>66</v>
      </c>
      <c r="F17" s="13" t="s">
        <v>7</v>
      </c>
      <c r="G17" s="23">
        <v>33455</v>
      </c>
      <c r="H17" s="14">
        <v>45479</v>
      </c>
      <c r="I17" s="13" t="s">
        <v>23</v>
      </c>
      <c r="J17" s="13">
        <v>300000</v>
      </c>
      <c r="K17" s="50" t="s">
        <v>67</v>
      </c>
      <c r="L17" s="15">
        <v>9015472326</v>
      </c>
      <c r="M17" s="15">
        <v>423643</v>
      </c>
    </row>
    <row r="18" spans="2:14" ht="18.75" customHeight="1">
      <c r="B18" s="2"/>
      <c r="C18" s="2"/>
      <c r="D18" s="15">
        <f t="shared" ref="D18:D19" si="1">D17</f>
        <v>31391</v>
      </c>
      <c r="E18" s="13" t="s">
        <v>68</v>
      </c>
      <c r="F18" s="15" t="s">
        <v>10</v>
      </c>
      <c r="G18" s="23">
        <v>33335</v>
      </c>
      <c r="H18" s="14"/>
      <c r="I18" s="15" t="s">
        <v>22</v>
      </c>
      <c r="J18" s="15"/>
      <c r="K18" s="50"/>
      <c r="L18" s="15"/>
      <c r="M18" s="15"/>
      <c r="N18" s="8"/>
    </row>
    <row r="19" spans="2:14" ht="18.75" customHeight="1">
      <c r="B19" s="84">
        <f>SUM(COUNTIF($F$10:$F$15482,"Spouse"),COUNTIF($F$10:$F$15482,"Wife"),COUNTIF($F$10:$F$15482,"Husband"))</f>
        <v>20</v>
      </c>
      <c r="C19" s="7"/>
      <c r="D19" s="15">
        <f t="shared" si="1"/>
        <v>31391</v>
      </c>
      <c r="E19" s="13" t="s">
        <v>69</v>
      </c>
      <c r="F19" s="15" t="s">
        <v>12</v>
      </c>
      <c r="G19" s="23">
        <v>44887</v>
      </c>
      <c r="H19" s="23"/>
      <c r="I19" s="15" t="s">
        <v>22</v>
      </c>
      <c r="J19" s="15"/>
      <c r="K19" s="50"/>
      <c r="L19" s="51"/>
      <c r="M19" s="15"/>
      <c r="N19" s="8"/>
    </row>
    <row r="20" spans="2:14" ht="18.75" customHeight="1">
      <c r="B20" s="84"/>
      <c r="C20" s="2"/>
      <c r="D20" s="15">
        <v>31392</v>
      </c>
      <c r="E20" s="13" t="s">
        <v>54</v>
      </c>
      <c r="F20" s="15" t="s">
        <v>7</v>
      </c>
      <c r="G20" s="23">
        <v>32062</v>
      </c>
      <c r="H20" s="23">
        <v>45481</v>
      </c>
      <c r="I20" s="24" t="s">
        <v>23</v>
      </c>
      <c r="J20" s="13">
        <v>300000</v>
      </c>
      <c r="K20" s="50" t="s">
        <v>70</v>
      </c>
      <c r="L20" s="51">
        <v>9882209066</v>
      </c>
      <c r="M20" s="13">
        <v>365258</v>
      </c>
    </row>
    <row r="21" spans="2:14" ht="18.75" customHeight="1">
      <c r="B21" s="2">
        <f>SUM(COUNTIF($F$10:$F$15484,"Spouse"),COUNTIF($F$10:$F$15484,"Wife"),COUNTIF($F$10:$F$15484,"Husband"))</f>
        <v>20</v>
      </c>
      <c r="C21" s="2"/>
      <c r="D21" s="15">
        <f>D20</f>
        <v>31392</v>
      </c>
      <c r="E21" s="13" t="s">
        <v>71</v>
      </c>
      <c r="F21" s="15" t="s">
        <v>10</v>
      </c>
      <c r="G21" s="23">
        <v>32790</v>
      </c>
      <c r="H21" s="15"/>
      <c r="I21" s="15" t="s">
        <v>22</v>
      </c>
      <c r="J21" s="15"/>
      <c r="K21" s="15"/>
      <c r="L21" s="15"/>
      <c r="M21" s="51"/>
    </row>
    <row r="22" spans="2:14" ht="18.75" customHeight="1">
      <c r="B22" s="85" t="s">
        <v>38</v>
      </c>
      <c r="C22" s="2"/>
      <c r="D22" s="15">
        <v>31393</v>
      </c>
      <c r="E22" s="13" t="s">
        <v>72</v>
      </c>
      <c r="F22" s="15" t="s">
        <v>7</v>
      </c>
      <c r="G22" s="23">
        <v>45527</v>
      </c>
      <c r="H22" s="23">
        <v>45483</v>
      </c>
      <c r="I22" s="15" t="s">
        <v>23</v>
      </c>
      <c r="J22" s="13">
        <v>300000</v>
      </c>
      <c r="K22" s="50" t="s">
        <v>73</v>
      </c>
      <c r="L22" s="15">
        <v>9015444516</v>
      </c>
      <c r="M22" s="51">
        <v>351038</v>
      </c>
    </row>
    <row r="23" spans="2:14" ht="18.75" customHeight="1" thickBot="1">
      <c r="B23" s="86"/>
      <c r="C23" s="5"/>
      <c r="D23" s="15">
        <f t="shared" ref="D23:D24" si="2">D22</f>
        <v>31393</v>
      </c>
      <c r="E23" s="13" t="s">
        <v>74</v>
      </c>
      <c r="F23" s="15" t="s">
        <v>10</v>
      </c>
      <c r="G23" s="23">
        <v>35503</v>
      </c>
      <c r="H23" s="15"/>
      <c r="I23" s="15" t="s">
        <v>22</v>
      </c>
      <c r="J23" s="15"/>
      <c r="K23" s="15"/>
      <c r="L23" s="15"/>
      <c r="M23" s="51"/>
    </row>
    <row r="24" spans="2:14" ht="18.75" customHeight="1">
      <c r="B24" s="84">
        <f>SUM(COUNTIF($F$10:$F$15482,"Children"),COUNTIF($F$10:$F$15482,"Child"),COUNTIF($F$10:$F$15482,"Son"),COUNTIF($F$10:$F$15482,"Daughter"))</f>
        <v>25</v>
      </c>
      <c r="C24" s="2"/>
      <c r="D24" s="15">
        <f t="shared" si="2"/>
        <v>31393</v>
      </c>
      <c r="E24" s="13" t="s">
        <v>75</v>
      </c>
      <c r="F24" s="15" t="s">
        <v>12</v>
      </c>
      <c r="G24" s="23">
        <v>44384</v>
      </c>
      <c r="H24" s="15"/>
      <c r="I24" s="15" t="s">
        <v>22</v>
      </c>
      <c r="J24" s="15"/>
      <c r="K24" s="15"/>
      <c r="L24" s="15"/>
      <c r="M24" s="51"/>
    </row>
    <row r="25" spans="2:14" ht="18.75" customHeight="1">
      <c r="B25" s="84"/>
      <c r="C25" s="6"/>
      <c r="D25" s="15">
        <v>31395</v>
      </c>
      <c r="E25" s="13" t="s">
        <v>76</v>
      </c>
      <c r="F25" s="15" t="s">
        <v>7</v>
      </c>
      <c r="G25" s="23">
        <v>33370</v>
      </c>
      <c r="H25" s="23">
        <v>45488</v>
      </c>
      <c r="I25" s="15" t="s">
        <v>23</v>
      </c>
      <c r="J25" s="13">
        <v>300000</v>
      </c>
      <c r="K25" s="50" t="s">
        <v>77</v>
      </c>
      <c r="L25" s="15">
        <v>8278749925</v>
      </c>
      <c r="M25" s="51">
        <v>440258</v>
      </c>
    </row>
    <row r="26" spans="2:14" ht="18.75" customHeight="1">
      <c r="B26" s="2">
        <f>SUM(COUNTIF($F$10:$F$15484,"Children"),COUNTIF($F$10:$F$15484,"Child"),COUNTIF($F$10:$F$15484,"Son"),COUNTIF($F$10:$F$15484,"Daughter"))</f>
        <v>25</v>
      </c>
      <c r="C26" s="4"/>
      <c r="D26" s="15">
        <v>31396</v>
      </c>
      <c r="E26" s="13" t="s">
        <v>53</v>
      </c>
      <c r="F26" s="15" t="s">
        <v>7</v>
      </c>
      <c r="G26" s="23">
        <v>31275</v>
      </c>
      <c r="H26" s="23">
        <v>45491</v>
      </c>
      <c r="I26" s="15" t="s">
        <v>23</v>
      </c>
      <c r="J26" s="13">
        <v>300000</v>
      </c>
      <c r="K26" s="50" t="s">
        <v>78</v>
      </c>
      <c r="L26" s="15">
        <v>7018686493</v>
      </c>
      <c r="M26" s="51">
        <v>477858</v>
      </c>
    </row>
    <row r="27" spans="2:14" ht="18.75" customHeight="1">
      <c r="B27" s="85" t="s">
        <v>39</v>
      </c>
      <c r="C27" s="2"/>
      <c r="D27" s="15">
        <v>31397</v>
      </c>
      <c r="E27" s="13" t="s">
        <v>79</v>
      </c>
      <c r="F27" s="15" t="s">
        <v>7</v>
      </c>
      <c r="G27" s="23">
        <v>35074</v>
      </c>
      <c r="H27" s="23">
        <v>45499</v>
      </c>
      <c r="I27" s="15" t="s">
        <v>23</v>
      </c>
      <c r="J27" s="13">
        <v>300000</v>
      </c>
      <c r="K27" s="50" t="s">
        <v>80</v>
      </c>
      <c r="L27" s="15">
        <v>8219235037</v>
      </c>
      <c r="M27" s="51">
        <v>410446</v>
      </c>
    </row>
    <row r="28" spans="2:14" ht="15" thickBot="1">
      <c r="B28" s="86"/>
      <c r="C28" s="2"/>
      <c r="D28" s="52" t="s">
        <v>87</v>
      </c>
      <c r="E28" s="15" t="s">
        <v>86</v>
      </c>
      <c r="F28" s="53" t="s">
        <v>12</v>
      </c>
      <c r="G28" s="54">
        <v>45463</v>
      </c>
      <c r="H28" s="54">
        <v>45463</v>
      </c>
      <c r="I28" s="55" t="s">
        <v>22</v>
      </c>
      <c r="J28" s="36">
        <v>200000</v>
      </c>
      <c r="K28" s="52" t="s">
        <v>85</v>
      </c>
      <c r="L28" s="52" t="s">
        <v>84</v>
      </c>
      <c r="M28" s="51"/>
    </row>
    <row r="29" spans="2:14">
      <c r="B29" s="84">
        <f>SUM(COUNTIF($F$10:$F$15482,"Parent"),COUNTIF($F$10:$F$15482,"Father"),COUNTIF($F$10:$F$15482,"Mother"))</f>
        <v>0</v>
      </c>
      <c r="D29" s="56" t="s">
        <v>88</v>
      </c>
      <c r="E29" s="56" t="s">
        <v>89</v>
      </c>
      <c r="F29" s="38" t="s">
        <v>7</v>
      </c>
      <c r="G29" s="35">
        <v>35688</v>
      </c>
      <c r="H29" s="57">
        <v>45475</v>
      </c>
      <c r="I29" s="56" t="s">
        <v>9</v>
      </c>
      <c r="J29" s="38">
        <v>200000</v>
      </c>
      <c r="K29" s="38"/>
      <c r="L29" s="58">
        <v>7839940245</v>
      </c>
      <c r="M29" s="38">
        <v>291612</v>
      </c>
    </row>
    <row r="30" spans="2:14">
      <c r="B30" s="84"/>
      <c r="D30" s="56" t="s">
        <v>90</v>
      </c>
      <c r="E30" s="56" t="s">
        <v>91</v>
      </c>
      <c r="F30" s="38" t="s">
        <v>7</v>
      </c>
      <c r="G30" s="35">
        <v>37480</v>
      </c>
      <c r="H30" s="35">
        <v>45495</v>
      </c>
      <c r="I30" s="56" t="s">
        <v>9</v>
      </c>
      <c r="J30" s="38">
        <v>200000</v>
      </c>
      <c r="K30" s="38"/>
      <c r="L30" s="59">
        <v>9173228508</v>
      </c>
      <c r="M30" s="38">
        <v>194172</v>
      </c>
    </row>
    <row r="31" spans="2:14">
      <c r="B31" s="2">
        <f>SUM(COUNTIF($F$10:$F$15484,"Parent"),COUNTIF($F$10:$F$15484,"Father"),COUNTIF($F$10:$F$15484,"Mother"))</f>
        <v>0</v>
      </c>
      <c r="D31" s="60" t="s">
        <v>92</v>
      </c>
      <c r="E31" s="60" t="s">
        <v>93</v>
      </c>
      <c r="F31" s="38" t="s">
        <v>7</v>
      </c>
      <c r="G31" s="60" t="s">
        <v>94</v>
      </c>
      <c r="H31" s="60" t="s">
        <v>95</v>
      </c>
      <c r="I31" s="56" t="s">
        <v>9</v>
      </c>
      <c r="J31" s="38">
        <v>200000</v>
      </c>
      <c r="K31" s="38"/>
      <c r="L31" s="58">
        <v>7999615799</v>
      </c>
      <c r="M31" s="38">
        <v>293208</v>
      </c>
    </row>
    <row r="32" spans="2:14">
      <c r="B32" s="85" t="s">
        <v>40</v>
      </c>
      <c r="D32" s="41" t="s">
        <v>96</v>
      </c>
      <c r="E32" s="40" t="s">
        <v>97</v>
      </c>
      <c r="F32" s="38" t="s">
        <v>7</v>
      </c>
      <c r="G32" s="61">
        <v>35065</v>
      </c>
      <c r="H32" s="61">
        <v>45476</v>
      </c>
      <c r="I32" s="56" t="s">
        <v>9</v>
      </c>
      <c r="J32" s="38">
        <v>200000</v>
      </c>
      <c r="K32" s="38"/>
      <c r="L32" s="58">
        <v>9585036686</v>
      </c>
      <c r="M32" s="38">
        <v>333792</v>
      </c>
    </row>
    <row r="33" spans="2:13" ht="15" thickBot="1">
      <c r="B33" s="86"/>
      <c r="D33" s="41" t="s">
        <v>98</v>
      </c>
      <c r="E33" s="40" t="s">
        <v>99</v>
      </c>
      <c r="F33" s="38" t="s">
        <v>7</v>
      </c>
      <c r="G33" s="61">
        <v>36248</v>
      </c>
      <c r="H33" s="61">
        <v>45474</v>
      </c>
      <c r="I33" s="56" t="s">
        <v>9</v>
      </c>
      <c r="J33" s="38">
        <v>200000</v>
      </c>
      <c r="K33" s="38"/>
      <c r="L33" s="58">
        <v>8056738080</v>
      </c>
      <c r="M33" s="38">
        <v>266268</v>
      </c>
    </row>
    <row r="34" spans="2:13">
      <c r="B34" s="84">
        <f>SUM(COUNTIF($F$10:$F$15482,"Parent-In-Law"),COUNTIF($F$10:$F$15482,"Parent In Law"),COUNTIF($F$10:$F$15482,"Father-In-Law"),COUNTIF($F$10:$F$15482,"Father In Law"),COUNTIF($F$10:$F$15482,"Mother-In-Law"),COUNTIF($F$10:$F$15482,"Mother In Law"),COUNTIF($F$10:$F$15482,"Parent_In_Law"),COUNTIF($F$10:$F$15482,"Father_In_Law"),COUNTIF($F$10:$F$15482,"Mother_In_Law"))</f>
        <v>0</v>
      </c>
      <c r="D34" s="41" t="s">
        <v>100</v>
      </c>
      <c r="E34" s="40" t="s">
        <v>101</v>
      </c>
      <c r="F34" s="38" t="s">
        <v>7</v>
      </c>
      <c r="G34" s="61">
        <v>35273</v>
      </c>
      <c r="H34" s="61">
        <v>45483</v>
      </c>
      <c r="I34" s="56" t="s">
        <v>9</v>
      </c>
      <c r="J34" s="38">
        <v>200000</v>
      </c>
      <c r="K34" s="38"/>
      <c r="L34" s="58">
        <v>9597926020</v>
      </c>
      <c r="M34" s="38">
        <v>326976</v>
      </c>
    </row>
    <row r="35" spans="2:13">
      <c r="B35" s="84"/>
      <c r="D35" s="38" t="str">
        <f t="shared" ref="D35:D36" si="3">D34</f>
        <v>HFCEMT055</v>
      </c>
      <c r="E35" s="40" t="s">
        <v>102</v>
      </c>
      <c r="F35" s="62" t="s">
        <v>10</v>
      </c>
      <c r="G35" s="61">
        <v>35954</v>
      </c>
      <c r="H35" s="38"/>
      <c r="I35" s="56" t="s">
        <v>8</v>
      </c>
      <c r="J35" s="38"/>
      <c r="K35" s="38"/>
      <c r="L35" s="38"/>
      <c r="M35" s="38"/>
    </row>
    <row r="36" spans="2:13">
      <c r="B36" s="8">
        <f>SUM(COUNTIF($F$10:$F$15484,"Parent-In-Law"),COUNTIF($F$10:$F$15484,"Parent In Law"),COUNTIF($F$10:$F$15484,"Father-In-Law"),COUNTIF($F$10:$F$15484,"Father In Law"),COUNTIF($F$10:$F$15484,"Mother-In-Law"),COUNTIF($F$10:$F$15484,"Mother In Law"),COUNTIF($F$10:$F$15484,"Parent_In_Law"),COUNTIF($F$10:$F$15484,"Father_In_Law"),COUNTIF($F$10:$F$15484,"Mother_In_Law"))</f>
        <v>0</v>
      </c>
      <c r="D36" s="38" t="str">
        <f t="shared" si="3"/>
        <v>HFCEMT055</v>
      </c>
      <c r="E36" s="40" t="s">
        <v>103</v>
      </c>
      <c r="F36" s="62" t="s">
        <v>12</v>
      </c>
      <c r="G36" s="61">
        <v>45084</v>
      </c>
      <c r="H36" s="38"/>
      <c r="I36" s="56" t="s">
        <v>8</v>
      </c>
      <c r="J36" s="38"/>
      <c r="K36" s="38"/>
      <c r="L36" s="38"/>
      <c r="M36" s="38"/>
    </row>
    <row r="37" spans="2:13">
      <c r="B37" s="8"/>
      <c r="D37" s="41" t="s">
        <v>104</v>
      </c>
      <c r="E37" s="40" t="s">
        <v>105</v>
      </c>
      <c r="F37" s="62" t="s">
        <v>7</v>
      </c>
      <c r="G37" s="61">
        <v>35728</v>
      </c>
      <c r="H37" s="61">
        <v>45483</v>
      </c>
      <c r="I37" s="56" t="s">
        <v>9</v>
      </c>
      <c r="J37" s="38">
        <v>200000</v>
      </c>
      <c r="K37" s="38"/>
      <c r="L37" s="58">
        <v>8870357288</v>
      </c>
      <c r="M37" s="38">
        <v>435972</v>
      </c>
    </row>
    <row r="38" spans="2:13">
      <c r="B38" s="8"/>
      <c r="D38" s="38" t="str">
        <f>D37</f>
        <v>HFCEMT056</v>
      </c>
      <c r="E38" s="40" t="s">
        <v>106</v>
      </c>
      <c r="F38" s="62" t="s">
        <v>10</v>
      </c>
      <c r="G38" s="61">
        <v>36699</v>
      </c>
      <c r="H38" s="38"/>
      <c r="I38" s="38"/>
      <c r="J38" s="38"/>
      <c r="K38" s="38"/>
      <c r="L38" s="62"/>
      <c r="M38" s="38"/>
    </row>
    <row r="39" spans="2:13">
      <c r="B39" s="8"/>
      <c r="D39" s="38" t="s">
        <v>107</v>
      </c>
      <c r="E39" s="36" t="s">
        <v>108</v>
      </c>
      <c r="F39" s="62" t="s">
        <v>7</v>
      </c>
      <c r="G39" s="63">
        <v>37495</v>
      </c>
      <c r="H39" s="64">
        <v>45474</v>
      </c>
      <c r="I39" s="38" t="s">
        <v>109</v>
      </c>
      <c r="J39" s="38">
        <v>200000</v>
      </c>
      <c r="K39" s="38"/>
      <c r="L39" s="65">
        <v>7708850439</v>
      </c>
      <c r="M39" s="38">
        <v>204360</v>
      </c>
    </row>
    <row r="40" spans="2:13">
      <c r="B40" s="8"/>
      <c r="D40" s="38" t="s">
        <v>110</v>
      </c>
      <c r="E40" s="36" t="s">
        <v>111</v>
      </c>
      <c r="F40" s="62" t="s">
        <v>7</v>
      </c>
      <c r="G40" s="63">
        <v>37927</v>
      </c>
      <c r="H40" s="64">
        <v>45474</v>
      </c>
      <c r="I40" s="38" t="s">
        <v>109</v>
      </c>
      <c r="J40" s="38">
        <v>200000</v>
      </c>
      <c r="K40" s="38"/>
      <c r="L40" s="66">
        <v>9003993661</v>
      </c>
      <c r="M40" s="38">
        <v>204360</v>
      </c>
    </row>
    <row r="41" spans="2:13">
      <c r="B41" s="8"/>
      <c r="D41" s="38" t="s">
        <v>112</v>
      </c>
      <c r="E41" s="36" t="s">
        <v>113</v>
      </c>
      <c r="F41" s="62" t="s">
        <v>7</v>
      </c>
      <c r="G41" s="35">
        <v>37924</v>
      </c>
      <c r="H41" s="64">
        <v>45474</v>
      </c>
      <c r="I41" s="38" t="s">
        <v>109</v>
      </c>
      <c r="J41" s="38">
        <v>200000</v>
      </c>
      <c r="K41" s="38"/>
      <c r="L41" s="38">
        <v>9585206112</v>
      </c>
      <c r="M41" s="38">
        <v>204360</v>
      </c>
    </row>
    <row r="42" spans="2:13">
      <c r="B42" s="8"/>
      <c r="D42" s="38" t="s">
        <v>114</v>
      </c>
      <c r="E42" s="36" t="s">
        <v>115</v>
      </c>
      <c r="F42" s="62" t="s">
        <v>7</v>
      </c>
      <c r="G42" s="35">
        <v>38023</v>
      </c>
      <c r="H42" s="64">
        <v>45474</v>
      </c>
      <c r="I42" s="38" t="s">
        <v>109</v>
      </c>
      <c r="J42" s="38">
        <v>200000</v>
      </c>
      <c r="K42" s="38"/>
      <c r="L42" s="38">
        <v>9345617418</v>
      </c>
      <c r="M42" s="38">
        <v>204360</v>
      </c>
    </row>
    <row r="43" spans="2:13">
      <c r="B43" s="8"/>
      <c r="D43" s="38" t="s">
        <v>116</v>
      </c>
      <c r="E43" s="36" t="s">
        <v>117</v>
      </c>
      <c r="F43" s="62" t="s">
        <v>7</v>
      </c>
      <c r="G43" s="35">
        <v>38031</v>
      </c>
      <c r="H43" s="64">
        <v>45474</v>
      </c>
      <c r="I43" s="38" t="s">
        <v>109</v>
      </c>
      <c r="J43" s="38">
        <v>200000</v>
      </c>
      <c r="K43" s="38"/>
      <c r="L43" s="66">
        <v>7397570971</v>
      </c>
      <c r="M43" s="38">
        <v>204360</v>
      </c>
    </row>
    <row r="44" spans="2:13">
      <c r="B44" s="8"/>
      <c r="D44" s="38" t="s">
        <v>118</v>
      </c>
      <c r="E44" s="36" t="s">
        <v>119</v>
      </c>
      <c r="F44" s="62" t="s">
        <v>7</v>
      </c>
      <c r="G44" s="35">
        <v>38119</v>
      </c>
      <c r="H44" s="64">
        <v>45474</v>
      </c>
      <c r="I44" s="38" t="s">
        <v>109</v>
      </c>
      <c r="J44" s="38">
        <v>200000</v>
      </c>
      <c r="K44" s="38"/>
      <c r="L44" s="38">
        <v>9345529412</v>
      </c>
      <c r="M44" s="38">
        <v>204360</v>
      </c>
    </row>
    <row r="45" spans="2:13">
      <c r="B45" s="8"/>
      <c r="D45" s="38" t="s">
        <v>120</v>
      </c>
      <c r="E45" s="36" t="s">
        <v>121</v>
      </c>
      <c r="F45" s="62" t="s">
        <v>7</v>
      </c>
      <c r="G45" s="35">
        <v>37312</v>
      </c>
      <c r="H45" s="64">
        <v>45474</v>
      </c>
      <c r="I45" s="38" t="s">
        <v>109</v>
      </c>
      <c r="J45" s="38">
        <v>200000</v>
      </c>
      <c r="K45" s="38"/>
      <c r="L45" s="38">
        <v>9894777654</v>
      </c>
      <c r="M45" s="38">
        <v>283380</v>
      </c>
    </row>
    <row r="46" spans="2:13">
      <c r="B46" s="8"/>
      <c r="D46" s="36" t="s">
        <v>122</v>
      </c>
      <c r="E46" s="36" t="s">
        <v>123</v>
      </c>
      <c r="F46" s="62" t="s">
        <v>7</v>
      </c>
      <c r="G46" s="67">
        <v>36629</v>
      </c>
      <c r="H46" s="68">
        <v>45481</v>
      </c>
      <c r="I46" s="38" t="s">
        <v>124</v>
      </c>
      <c r="J46" s="38">
        <v>200000</v>
      </c>
      <c r="K46" s="38"/>
      <c r="L46" s="36">
        <v>9003575623</v>
      </c>
      <c r="M46" s="38">
        <v>204360</v>
      </c>
    </row>
    <row r="47" spans="2:13">
      <c r="B47" s="8"/>
      <c r="D47" s="36" t="s">
        <v>125</v>
      </c>
      <c r="E47" s="36" t="s">
        <v>126</v>
      </c>
      <c r="F47" s="62" t="s">
        <v>7</v>
      </c>
      <c r="G47" s="67">
        <v>35771</v>
      </c>
      <c r="H47" s="68">
        <v>45481</v>
      </c>
      <c r="I47" s="38" t="s">
        <v>124</v>
      </c>
      <c r="J47" s="38">
        <v>200000</v>
      </c>
      <c r="K47" s="38"/>
      <c r="L47" s="36">
        <v>7373748142</v>
      </c>
      <c r="M47" s="38">
        <v>204360</v>
      </c>
    </row>
    <row r="48" spans="2:13">
      <c r="D48" s="36" t="s">
        <v>127</v>
      </c>
      <c r="E48" s="36" t="s">
        <v>128</v>
      </c>
      <c r="F48" s="62" t="s">
        <v>7</v>
      </c>
      <c r="G48" s="67">
        <v>38207</v>
      </c>
      <c r="H48" s="68">
        <v>45483</v>
      </c>
      <c r="I48" s="38" t="s">
        <v>124</v>
      </c>
      <c r="J48" s="38">
        <v>200000</v>
      </c>
      <c r="K48" s="38"/>
      <c r="L48" s="36">
        <v>8220787284</v>
      </c>
      <c r="M48" s="38">
        <v>204360</v>
      </c>
    </row>
    <row r="49" spans="4:13">
      <c r="D49" s="38" t="s">
        <v>129</v>
      </c>
      <c r="E49" s="36" t="s">
        <v>130</v>
      </c>
      <c r="F49" s="62" t="s">
        <v>7</v>
      </c>
      <c r="G49" s="69">
        <v>38119</v>
      </c>
      <c r="H49" s="64">
        <v>45484</v>
      </c>
      <c r="I49" s="38" t="s">
        <v>109</v>
      </c>
      <c r="J49" s="38">
        <v>200000</v>
      </c>
      <c r="K49" s="38"/>
      <c r="L49" s="66">
        <v>7010449584</v>
      </c>
      <c r="M49" s="38">
        <v>204360</v>
      </c>
    </row>
    <row r="50" spans="4:13">
      <c r="D50" s="38" t="s">
        <v>131</v>
      </c>
      <c r="E50" s="36" t="s">
        <v>132</v>
      </c>
      <c r="F50" s="62" t="s">
        <v>7</v>
      </c>
      <c r="G50" s="69">
        <v>37832</v>
      </c>
      <c r="H50" s="64">
        <v>45484</v>
      </c>
      <c r="I50" s="38" t="s">
        <v>109</v>
      </c>
      <c r="J50" s="38">
        <v>200000</v>
      </c>
      <c r="K50" s="38"/>
      <c r="L50" s="66">
        <v>7904038327</v>
      </c>
      <c r="M50" s="38">
        <v>204360</v>
      </c>
    </row>
    <row r="51" spans="4:13">
      <c r="D51" s="38" t="s">
        <v>133</v>
      </c>
      <c r="E51" s="36" t="s">
        <v>134</v>
      </c>
      <c r="F51" s="62" t="s">
        <v>7</v>
      </c>
      <c r="G51" s="35">
        <v>38182</v>
      </c>
      <c r="H51" s="64">
        <v>45484</v>
      </c>
      <c r="I51" s="38" t="s">
        <v>109</v>
      </c>
      <c r="J51" s="38">
        <v>200000</v>
      </c>
      <c r="K51" s="38"/>
      <c r="L51" s="38">
        <v>6380503457</v>
      </c>
      <c r="M51" s="38">
        <v>204360</v>
      </c>
    </row>
    <row r="52" spans="4:13">
      <c r="D52" s="38" t="s">
        <v>135</v>
      </c>
      <c r="E52" s="36" t="s">
        <v>136</v>
      </c>
      <c r="F52" s="62" t="s">
        <v>7</v>
      </c>
      <c r="G52" s="35">
        <v>37694</v>
      </c>
      <c r="H52" s="64">
        <v>45489</v>
      </c>
      <c r="I52" s="38" t="s">
        <v>124</v>
      </c>
      <c r="J52" s="38">
        <v>200000</v>
      </c>
      <c r="K52" s="38"/>
      <c r="L52" s="38">
        <v>9597146674</v>
      </c>
      <c r="M52" s="38">
        <v>217980</v>
      </c>
    </row>
    <row r="53" spans="4:13">
      <c r="D53" s="38" t="s">
        <v>137</v>
      </c>
      <c r="E53" s="36" t="s">
        <v>138</v>
      </c>
      <c r="F53" s="62" t="s">
        <v>7</v>
      </c>
      <c r="G53" s="35">
        <v>37604</v>
      </c>
      <c r="H53" s="64">
        <v>45489</v>
      </c>
      <c r="I53" s="38" t="s">
        <v>124</v>
      </c>
      <c r="J53" s="38">
        <v>200000</v>
      </c>
      <c r="K53" s="38"/>
      <c r="L53" s="38">
        <v>7604933359</v>
      </c>
      <c r="M53" s="38">
        <v>217980</v>
      </c>
    </row>
    <row r="54" spans="4:13">
      <c r="D54" s="38" t="s">
        <v>139</v>
      </c>
      <c r="E54" s="36" t="s">
        <v>140</v>
      </c>
      <c r="F54" s="62" t="s">
        <v>7</v>
      </c>
      <c r="G54" s="35">
        <v>37453</v>
      </c>
      <c r="H54" s="64">
        <v>45489</v>
      </c>
      <c r="I54" s="38" t="s">
        <v>109</v>
      </c>
      <c r="J54" s="38">
        <v>200000</v>
      </c>
      <c r="K54" s="38"/>
      <c r="L54" s="38">
        <v>8946093983</v>
      </c>
      <c r="M54" s="38">
        <v>204360</v>
      </c>
    </row>
    <row r="55" spans="4:13">
      <c r="D55" s="38" t="s">
        <v>141</v>
      </c>
      <c r="E55" s="36" t="s">
        <v>142</v>
      </c>
      <c r="F55" s="62" t="s">
        <v>7</v>
      </c>
      <c r="G55" s="35">
        <v>37707</v>
      </c>
      <c r="H55" s="64">
        <v>45489</v>
      </c>
      <c r="I55" s="38" t="s">
        <v>109</v>
      </c>
      <c r="J55" s="38">
        <v>200000</v>
      </c>
      <c r="K55" s="38"/>
      <c r="L55" s="38">
        <v>9345395141</v>
      </c>
      <c r="M55" s="38">
        <v>204360</v>
      </c>
    </row>
    <row r="56" spans="4:13">
      <c r="D56" s="38" t="s">
        <v>143</v>
      </c>
      <c r="E56" s="36" t="s">
        <v>144</v>
      </c>
      <c r="F56" s="62" t="s">
        <v>7</v>
      </c>
      <c r="G56" s="35">
        <v>37580</v>
      </c>
      <c r="H56" s="64">
        <v>45489</v>
      </c>
      <c r="I56" s="38" t="s">
        <v>109</v>
      </c>
      <c r="J56" s="38">
        <v>200000</v>
      </c>
      <c r="K56" s="38"/>
      <c r="L56" s="38">
        <v>9360871376</v>
      </c>
      <c r="M56" s="38">
        <v>204360</v>
      </c>
    </row>
    <row r="57" spans="4:13">
      <c r="D57" s="38" t="s">
        <v>145</v>
      </c>
      <c r="E57" s="36" t="s">
        <v>146</v>
      </c>
      <c r="F57" s="62" t="s">
        <v>7</v>
      </c>
      <c r="G57" s="35">
        <v>35607</v>
      </c>
      <c r="H57" s="64">
        <v>45489</v>
      </c>
      <c r="I57" s="38" t="s">
        <v>109</v>
      </c>
      <c r="J57" s="38">
        <v>200000</v>
      </c>
      <c r="K57" s="62"/>
      <c r="L57" s="38">
        <v>8870561496</v>
      </c>
      <c r="M57" s="38">
        <v>272484</v>
      </c>
    </row>
    <row r="58" spans="4:13">
      <c r="D58" s="70" t="s">
        <v>147</v>
      </c>
      <c r="E58" s="70" t="s">
        <v>148</v>
      </c>
      <c r="F58" s="70" t="s">
        <v>7</v>
      </c>
      <c r="G58" s="61">
        <v>31035</v>
      </c>
      <c r="H58" s="71">
        <v>45467</v>
      </c>
      <c r="I58" s="62" t="s">
        <v>9</v>
      </c>
      <c r="J58" s="62">
        <v>200000</v>
      </c>
      <c r="K58" s="62"/>
      <c r="L58" s="58">
        <v>9897194988</v>
      </c>
      <c r="M58" s="38">
        <v>413400</v>
      </c>
    </row>
    <row r="59" spans="4:13">
      <c r="D59" s="38" t="str">
        <f t="shared" ref="D59:D60" si="4">D58</f>
        <v>HFHYPD481</v>
      </c>
      <c r="E59" s="72" t="s">
        <v>149</v>
      </c>
      <c r="F59" s="70" t="s">
        <v>10</v>
      </c>
      <c r="G59" s="61">
        <v>32158</v>
      </c>
      <c r="H59" s="38"/>
      <c r="I59" s="62" t="s">
        <v>8</v>
      </c>
      <c r="J59" s="38"/>
      <c r="K59" s="62"/>
      <c r="L59" s="38"/>
      <c r="M59" s="38"/>
    </row>
    <row r="60" spans="4:13">
      <c r="D60" s="38" t="str">
        <f t="shared" si="4"/>
        <v>HFHYPD481</v>
      </c>
      <c r="E60" s="72" t="s">
        <v>150</v>
      </c>
      <c r="F60" s="70" t="s">
        <v>12</v>
      </c>
      <c r="G60" s="61">
        <v>43709</v>
      </c>
      <c r="H60" s="38"/>
      <c r="I60" s="62" t="s">
        <v>8</v>
      </c>
      <c r="J60" s="38"/>
      <c r="K60" s="62"/>
      <c r="L60" s="38"/>
      <c r="M60" s="38"/>
    </row>
    <row r="61" spans="4:13">
      <c r="D61" s="70" t="s">
        <v>151</v>
      </c>
      <c r="E61" s="70" t="s">
        <v>152</v>
      </c>
      <c r="F61" s="73" t="s">
        <v>7</v>
      </c>
      <c r="G61" s="71">
        <v>35667</v>
      </c>
      <c r="H61" s="35">
        <v>45468</v>
      </c>
      <c r="I61" s="62" t="s">
        <v>8</v>
      </c>
      <c r="J61" s="62">
        <v>200000</v>
      </c>
      <c r="K61" s="62"/>
      <c r="L61" s="58">
        <v>8074664313</v>
      </c>
      <c r="M61" s="38">
        <v>322404</v>
      </c>
    </row>
    <row r="62" spans="4:13">
      <c r="D62" s="38" t="str">
        <f t="shared" ref="D62:D64" si="5">D61</f>
        <v>HFHYPD482</v>
      </c>
      <c r="E62" s="40" t="s">
        <v>153</v>
      </c>
      <c r="F62" s="73" t="s">
        <v>154</v>
      </c>
      <c r="G62" s="71">
        <v>32143</v>
      </c>
      <c r="H62" s="38"/>
      <c r="I62" s="38" t="s">
        <v>9</v>
      </c>
      <c r="J62" s="38"/>
      <c r="K62" s="62"/>
      <c r="L62" s="38"/>
      <c r="M62" s="38"/>
    </row>
    <row r="63" spans="4:13">
      <c r="D63" s="56" t="str">
        <f t="shared" si="5"/>
        <v>HFHYPD482</v>
      </c>
      <c r="E63" s="40" t="s">
        <v>155</v>
      </c>
      <c r="F63" s="70" t="s">
        <v>12</v>
      </c>
      <c r="G63" s="71">
        <v>41541</v>
      </c>
      <c r="H63" s="67"/>
      <c r="I63" s="38" t="s">
        <v>8</v>
      </c>
      <c r="J63" s="38"/>
      <c r="K63" s="62"/>
      <c r="L63" s="38"/>
      <c r="M63" s="38"/>
    </row>
    <row r="64" spans="4:13">
      <c r="D64" s="56" t="str">
        <f t="shared" si="5"/>
        <v>HFHYPD482</v>
      </c>
      <c r="E64" s="40" t="s">
        <v>156</v>
      </c>
      <c r="F64" s="70" t="s">
        <v>12</v>
      </c>
      <c r="G64" s="71">
        <v>43660</v>
      </c>
      <c r="H64" s="74"/>
      <c r="I64" s="62" t="s">
        <v>8</v>
      </c>
      <c r="J64" s="62"/>
      <c r="K64" s="62"/>
      <c r="L64" s="38"/>
      <c r="M64" s="38"/>
    </row>
    <row r="65" spans="4:13">
      <c r="D65" s="70" t="s">
        <v>157</v>
      </c>
      <c r="E65" s="70" t="s">
        <v>158</v>
      </c>
      <c r="F65" s="70" t="s">
        <v>7</v>
      </c>
      <c r="G65" s="61">
        <v>32712</v>
      </c>
      <c r="H65" s="35">
        <v>45468</v>
      </c>
      <c r="I65" s="38" t="s">
        <v>9</v>
      </c>
      <c r="J65" s="38">
        <v>200000</v>
      </c>
      <c r="K65" s="62"/>
      <c r="L65" s="58">
        <v>8887716329</v>
      </c>
      <c r="M65" s="38">
        <v>478404</v>
      </c>
    </row>
    <row r="66" spans="4:13">
      <c r="D66" s="56" t="str">
        <f t="shared" ref="D66:D68" si="6">D65</f>
        <v>HFHYPD483</v>
      </c>
      <c r="E66" s="40" t="s">
        <v>159</v>
      </c>
      <c r="F66" s="70" t="s">
        <v>10</v>
      </c>
      <c r="G66" s="71">
        <v>33147</v>
      </c>
      <c r="H66" s="67"/>
      <c r="I66" s="38" t="s">
        <v>8</v>
      </c>
      <c r="J66" s="38"/>
      <c r="K66" s="62"/>
      <c r="L66" s="38"/>
      <c r="M66" s="38"/>
    </row>
    <row r="67" spans="4:13">
      <c r="D67" s="56" t="str">
        <f t="shared" si="6"/>
        <v>HFHYPD483</v>
      </c>
      <c r="E67" s="40" t="s">
        <v>160</v>
      </c>
      <c r="F67" s="70" t="s">
        <v>12</v>
      </c>
      <c r="G67" s="71">
        <v>41052</v>
      </c>
      <c r="H67" s="67"/>
      <c r="I67" s="38" t="s">
        <v>8</v>
      </c>
      <c r="J67" s="38"/>
      <c r="K67" s="62"/>
      <c r="L67" s="38"/>
      <c r="M67" s="38"/>
    </row>
    <row r="68" spans="4:13">
      <c r="D68" s="38" t="str">
        <f t="shared" si="6"/>
        <v>HFHYPD483</v>
      </c>
      <c r="E68" s="40" t="s">
        <v>161</v>
      </c>
      <c r="F68" s="70" t="s">
        <v>12</v>
      </c>
      <c r="G68" s="71">
        <v>42680</v>
      </c>
      <c r="H68" s="38"/>
      <c r="I68" s="38" t="s">
        <v>8</v>
      </c>
      <c r="J68" s="38"/>
      <c r="K68" s="62"/>
      <c r="L68" s="38"/>
      <c r="M68" s="38"/>
    </row>
    <row r="69" spans="4:13">
      <c r="D69" s="70" t="s">
        <v>162</v>
      </c>
      <c r="E69" s="70" t="s">
        <v>163</v>
      </c>
      <c r="F69" s="70" t="s">
        <v>7</v>
      </c>
      <c r="G69" s="61">
        <v>31312</v>
      </c>
      <c r="H69" s="75">
        <v>45470</v>
      </c>
      <c r="I69" s="38" t="s">
        <v>9</v>
      </c>
      <c r="J69" s="38">
        <v>200000</v>
      </c>
      <c r="K69" s="62"/>
      <c r="L69" s="58">
        <v>9651215622</v>
      </c>
      <c r="M69" s="38">
        <v>371796</v>
      </c>
    </row>
    <row r="70" spans="4:13">
      <c r="D70" s="56" t="str">
        <f t="shared" ref="D70:D71" si="7">D69</f>
        <v>HFHYPD484</v>
      </c>
      <c r="E70" s="70" t="s">
        <v>164</v>
      </c>
      <c r="F70" s="70" t="s">
        <v>10</v>
      </c>
      <c r="G70" s="61">
        <v>35162</v>
      </c>
      <c r="H70" s="67"/>
      <c r="I70" s="38" t="s">
        <v>8</v>
      </c>
      <c r="J70" s="38"/>
      <c r="K70" s="38"/>
      <c r="L70" s="38"/>
      <c r="M70" s="38"/>
    </row>
    <row r="71" spans="4:13">
      <c r="D71" s="38" t="str">
        <f t="shared" si="7"/>
        <v>HFHYPD484</v>
      </c>
      <c r="E71" s="70" t="s">
        <v>165</v>
      </c>
      <c r="F71" s="70" t="s">
        <v>11</v>
      </c>
      <c r="G71" s="61">
        <v>42356</v>
      </c>
      <c r="H71" s="38"/>
      <c r="I71" s="38" t="s">
        <v>9</v>
      </c>
      <c r="J71" s="38"/>
      <c r="K71" s="38"/>
      <c r="L71" s="38"/>
      <c r="M71" s="38"/>
    </row>
    <row r="72" spans="4:13" ht="26">
      <c r="D72" s="70" t="s">
        <v>166</v>
      </c>
      <c r="E72" s="70" t="s">
        <v>167</v>
      </c>
      <c r="F72" s="70" t="s">
        <v>7</v>
      </c>
      <c r="G72" s="61">
        <v>31070</v>
      </c>
      <c r="H72" s="71">
        <v>45472</v>
      </c>
      <c r="I72" s="38" t="s">
        <v>9</v>
      </c>
      <c r="J72" s="38">
        <v>300000</v>
      </c>
      <c r="K72" s="38"/>
      <c r="L72" s="58">
        <v>9000507622</v>
      </c>
      <c r="M72" s="38">
        <v>1299996</v>
      </c>
    </row>
    <row r="73" spans="4:13">
      <c r="D73" s="38" t="str">
        <f t="shared" ref="D73:D74" si="8">D72</f>
        <v>HFHYFA027</v>
      </c>
      <c r="E73" s="70" t="s">
        <v>168</v>
      </c>
      <c r="F73" s="70" t="s">
        <v>10</v>
      </c>
      <c r="G73" s="61">
        <v>31235</v>
      </c>
      <c r="H73" s="38"/>
      <c r="I73" s="38" t="s">
        <v>8</v>
      </c>
      <c r="J73" s="38"/>
      <c r="K73" s="38"/>
      <c r="L73" s="38"/>
      <c r="M73" s="38"/>
    </row>
    <row r="74" spans="4:13">
      <c r="D74" s="56" t="str">
        <f t="shared" si="8"/>
        <v>HFHYFA027</v>
      </c>
      <c r="E74" s="70" t="s">
        <v>169</v>
      </c>
      <c r="F74" s="70" t="s">
        <v>11</v>
      </c>
      <c r="G74" s="61">
        <v>42591</v>
      </c>
      <c r="H74" s="67"/>
      <c r="I74" s="38" t="s">
        <v>9</v>
      </c>
      <c r="J74" s="38"/>
      <c r="K74" s="38"/>
      <c r="L74" s="38"/>
      <c r="M74" s="38"/>
    </row>
    <row r="75" spans="4:13">
      <c r="D75" s="70" t="s">
        <v>170</v>
      </c>
      <c r="E75" s="70" t="s">
        <v>171</v>
      </c>
      <c r="F75" s="70" t="s">
        <v>7</v>
      </c>
      <c r="G75" s="61">
        <v>32916</v>
      </c>
      <c r="H75" s="71">
        <v>45474</v>
      </c>
      <c r="I75" s="38" t="s">
        <v>9</v>
      </c>
      <c r="J75" s="38">
        <v>200000</v>
      </c>
      <c r="K75" s="38"/>
      <c r="L75" s="58">
        <v>8500943325</v>
      </c>
      <c r="M75" s="38">
        <v>345804</v>
      </c>
    </row>
    <row r="76" spans="4:13">
      <c r="D76" s="56" t="str">
        <f t="shared" ref="D76:D78" si="9">D75</f>
        <v>HFHYMT150</v>
      </c>
      <c r="E76" s="70" t="s">
        <v>172</v>
      </c>
      <c r="F76" s="70" t="s">
        <v>10</v>
      </c>
      <c r="G76" s="61">
        <v>35431</v>
      </c>
      <c r="H76" s="67"/>
      <c r="I76" s="38" t="s">
        <v>8</v>
      </c>
      <c r="J76" s="38"/>
      <c r="K76" s="38"/>
      <c r="L76" s="38"/>
      <c r="M76" s="38"/>
    </row>
    <row r="77" spans="4:13">
      <c r="D77" s="38" t="str">
        <f t="shared" si="9"/>
        <v>HFHYMT150</v>
      </c>
      <c r="E77" s="70" t="s">
        <v>173</v>
      </c>
      <c r="F77" s="70" t="s">
        <v>11</v>
      </c>
      <c r="G77" s="61">
        <v>42311</v>
      </c>
      <c r="H77" s="38"/>
      <c r="I77" s="38" t="s">
        <v>9</v>
      </c>
      <c r="J77" s="38"/>
      <c r="K77" s="38"/>
      <c r="L77" s="38"/>
      <c r="M77" s="38"/>
    </row>
    <row r="78" spans="4:13">
      <c r="D78" s="38" t="str">
        <f t="shared" si="9"/>
        <v>HFHYMT150</v>
      </c>
      <c r="E78" s="70" t="s">
        <v>174</v>
      </c>
      <c r="F78" s="70" t="s">
        <v>12</v>
      </c>
      <c r="G78" s="61">
        <v>42894</v>
      </c>
      <c r="H78" s="38"/>
      <c r="I78" s="38" t="s">
        <v>8</v>
      </c>
      <c r="J78" s="38"/>
      <c r="K78" s="38"/>
      <c r="L78" s="38"/>
      <c r="M78" s="38"/>
    </row>
    <row r="79" spans="4:13">
      <c r="D79" s="70" t="s">
        <v>175</v>
      </c>
      <c r="E79" s="70" t="s">
        <v>176</v>
      </c>
      <c r="F79" s="76" t="s">
        <v>7</v>
      </c>
      <c r="G79" s="75">
        <v>36642</v>
      </c>
      <c r="H79" s="35">
        <v>45472</v>
      </c>
      <c r="I79" s="38" t="s">
        <v>9</v>
      </c>
      <c r="J79" s="38">
        <v>200000</v>
      </c>
      <c r="K79" s="38"/>
      <c r="L79" s="58">
        <v>9860322320</v>
      </c>
      <c r="M79" s="38">
        <v>387912</v>
      </c>
    </row>
    <row r="80" spans="4:13">
      <c r="D80" s="70" t="s">
        <v>177</v>
      </c>
      <c r="E80" s="70" t="s">
        <v>178</v>
      </c>
      <c r="F80" s="70" t="s">
        <v>7</v>
      </c>
      <c r="G80" s="75">
        <v>34714</v>
      </c>
      <c r="H80" s="75">
        <v>45479</v>
      </c>
      <c r="I80" s="38" t="s">
        <v>9</v>
      </c>
      <c r="J80" s="38">
        <v>200000</v>
      </c>
      <c r="K80" s="38"/>
      <c r="L80" s="58">
        <v>9676882271</v>
      </c>
      <c r="M80" s="38">
        <v>582396</v>
      </c>
    </row>
    <row r="81" spans="4:13">
      <c r="D81" s="38" t="str">
        <f t="shared" ref="D81:D82" si="10">D80</f>
        <v>HFHYMT151</v>
      </c>
      <c r="E81" s="70" t="s">
        <v>179</v>
      </c>
      <c r="F81" s="70" t="s">
        <v>10</v>
      </c>
      <c r="G81" s="61">
        <v>35651</v>
      </c>
      <c r="H81" s="35"/>
      <c r="I81" s="38" t="s">
        <v>8</v>
      </c>
      <c r="J81" s="38"/>
      <c r="K81" s="38"/>
      <c r="L81" s="38"/>
      <c r="M81" s="38"/>
    </row>
    <row r="82" spans="4:13">
      <c r="D82" s="38" t="str">
        <f t="shared" si="10"/>
        <v>HFHYMT151</v>
      </c>
      <c r="E82" s="70" t="s">
        <v>180</v>
      </c>
      <c r="F82" s="70" t="s">
        <v>12</v>
      </c>
      <c r="G82" s="61">
        <v>45222</v>
      </c>
      <c r="H82" s="38"/>
      <c r="I82" s="38" t="s">
        <v>9</v>
      </c>
      <c r="J82" s="38"/>
      <c r="K82" s="38"/>
      <c r="L82" s="38"/>
      <c r="M82" s="38"/>
    </row>
    <row r="83" spans="4:13">
      <c r="D83" s="70" t="s">
        <v>181</v>
      </c>
      <c r="E83" s="70" t="s">
        <v>182</v>
      </c>
      <c r="F83" s="38" t="s">
        <v>7</v>
      </c>
      <c r="G83" s="75">
        <v>34575</v>
      </c>
      <c r="H83" s="75">
        <v>45488</v>
      </c>
      <c r="I83" s="38" t="s">
        <v>9</v>
      </c>
      <c r="J83" s="38">
        <v>200000</v>
      </c>
      <c r="K83" s="38"/>
      <c r="L83" s="58">
        <v>8179547457</v>
      </c>
      <c r="M83" s="38">
        <v>517404</v>
      </c>
    </row>
    <row r="84" spans="4:13">
      <c r="D84" s="70" t="s">
        <v>183</v>
      </c>
      <c r="E84" s="70" t="s">
        <v>184</v>
      </c>
      <c r="F84" s="38" t="s">
        <v>7</v>
      </c>
      <c r="G84" s="75">
        <v>36647</v>
      </c>
      <c r="H84" s="75">
        <v>45488</v>
      </c>
      <c r="I84" s="38" t="s">
        <v>9</v>
      </c>
      <c r="J84" s="38">
        <v>200000</v>
      </c>
      <c r="K84" s="38"/>
      <c r="L84" s="58">
        <v>9494394216</v>
      </c>
      <c r="M84" s="38">
        <v>380628</v>
      </c>
    </row>
    <row r="85" spans="4:13">
      <c r="D85" s="70" t="s">
        <v>185</v>
      </c>
      <c r="E85" s="70" t="s">
        <v>186</v>
      </c>
      <c r="F85" s="70" t="s">
        <v>7</v>
      </c>
      <c r="G85" s="75">
        <v>33859</v>
      </c>
      <c r="H85" s="75">
        <v>45488</v>
      </c>
      <c r="I85" s="38" t="s">
        <v>9</v>
      </c>
      <c r="J85" s="38">
        <v>200000</v>
      </c>
      <c r="K85" s="38"/>
      <c r="L85" s="58">
        <v>9010306603</v>
      </c>
      <c r="M85" s="38">
        <v>504396</v>
      </c>
    </row>
    <row r="86" spans="4:13">
      <c r="D86" s="38" t="str">
        <f t="shared" ref="D86:D87" si="11">D85</f>
        <v>HFHYMT152</v>
      </c>
      <c r="E86" s="70" t="s">
        <v>187</v>
      </c>
      <c r="F86" s="70" t="s">
        <v>10</v>
      </c>
      <c r="G86" s="75">
        <v>37769</v>
      </c>
      <c r="H86" s="35"/>
      <c r="I86" s="62" t="s">
        <v>8</v>
      </c>
      <c r="J86" s="38"/>
      <c r="K86" s="38"/>
      <c r="L86" s="38"/>
      <c r="M86" s="38"/>
    </row>
    <row r="87" spans="4:13">
      <c r="D87" s="38" t="str">
        <f t="shared" si="11"/>
        <v>HFHYMT152</v>
      </c>
      <c r="E87" s="70" t="s">
        <v>188</v>
      </c>
      <c r="F87" s="70" t="s">
        <v>12</v>
      </c>
      <c r="G87" s="75">
        <v>45049</v>
      </c>
      <c r="H87" s="38"/>
      <c r="I87" s="62" t="s">
        <v>8</v>
      </c>
      <c r="J87" s="38"/>
      <c r="K87" s="38"/>
      <c r="L87" s="38"/>
      <c r="M87" s="38"/>
    </row>
    <row r="88" spans="4:13">
      <c r="D88" s="70" t="s">
        <v>189</v>
      </c>
      <c r="E88" s="70" t="s">
        <v>190</v>
      </c>
      <c r="F88" s="38" t="s">
        <v>7</v>
      </c>
      <c r="G88" s="75">
        <v>35887</v>
      </c>
      <c r="H88" s="75">
        <v>45488</v>
      </c>
      <c r="I88" s="62" t="s">
        <v>9</v>
      </c>
      <c r="J88" s="38">
        <v>200000</v>
      </c>
      <c r="K88" s="38"/>
      <c r="L88" s="58">
        <v>9793175420</v>
      </c>
      <c r="M88" s="38">
        <v>361404</v>
      </c>
    </row>
    <row r="89" spans="4:13">
      <c r="D89" s="70" t="s">
        <v>191</v>
      </c>
      <c r="E89" s="70" t="s">
        <v>192</v>
      </c>
      <c r="F89" s="38" t="s">
        <v>7</v>
      </c>
      <c r="G89" s="75">
        <v>36125</v>
      </c>
      <c r="H89" s="75">
        <v>45488</v>
      </c>
      <c r="I89" s="62" t="s">
        <v>9</v>
      </c>
      <c r="J89" s="38">
        <v>200000</v>
      </c>
      <c r="K89" s="38"/>
      <c r="L89" s="58">
        <v>8791467849</v>
      </c>
      <c r="M89" s="38">
        <v>361404</v>
      </c>
    </row>
    <row r="90" spans="4:13">
      <c r="D90" s="70" t="s">
        <v>193</v>
      </c>
      <c r="E90" s="70" t="s">
        <v>194</v>
      </c>
      <c r="F90" s="70" t="s">
        <v>7</v>
      </c>
      <c r="G90" s="75">
        <v>34872</v>
      </c>
      <c r="H90" s="75">
        <v>45490</v>
      </c>
      <c r="I90" s="38" t="s">
        <v>9</v>
      </c>
      <c r="J90" s="38">
        <v>200000</v>
      </c>
      <c r="K90" s="38"/>
      <c r="L90" s="58">
        <v>9466004692</v>
      </c>
      <c r="M90" s="38">
        <v>428424</v>
      </c>
    </row>
    <row r="91" spans="4:13">
      <c r="D91" s="38" t="str">
        <f t="shared" ref="D91:D93" si="12">D90</f>
        <v>HFHYPD496</v>
      </c>
      <c r="E91" s="70" t="s">
        <v>195</v>
      </c>
      <c r="F91" s="70" t="s">
        <v>10</v>
      </c>
      <c r="G91" s="75">
        <v>35854</v>
      </c>
      <c r="H91" s="38"/>
      <c r="I91" s="38" t="s">
        <v>8</v>
      </c>
      <c r="J91" s="38"/>
      <c r="K91" s="38"/>
      <c r="L91" s="38"/>
      <c r="M91" s="38"/>
    </row>
    <row r="92" spans="4:13">
      <c r="D92" s="38" t="str">
        <f t="shared" si="12"/>
        <v>HFHYPD496</v>
      </c>
      <c r="E92" s="70" t="s">
        <v>196</v>
      </c>
      <c r="F92" s="70" t="s">
        <v>12</v>
      </c>
      <c r="G92" s="75">
        <v>43543</v>
      </c>
      <c r="H92" s="35"/>
      <c r="I92" s="38" t="s">
        <v>8</v>
      </c>
      <c r="J92" s="38"/>
      <c r="K92" s="38"/>
      <c r="L92" s="38"/>
      <c r="M92" s="38"/>
    </row>
    <row r="93" spans="4:13">
      <c r="D93" s="38" t="str">
        <f t="shared" si="12"/>
        <v>HFHYPD496</v>
      </c>
      <c r="E93" s="70" t="s">
        <v>197</v>
      </c>
      <c r="F93" s="70" t="s">
        <v>12</v>
      </c>
      <c r="G93" s="75">
        <v>44728</v>
      </c>
      <c r="H93" s="38"/>
      <c r="I93" s="38" t="s">
        <v>8</v>
      </c>
      <c r="J93" s="38"/>
      <c r="K93" s="38"/>
      <c r="L93" s="38"/>
      <c r="M93" s="38"/>
    </row>
    <row r="94" spans="4:13">
      <c r="D94" s="70" t="s">
        <v>198</v>
      </c>
      <c r="E94" s="70" t="s">
        <v>199</v>
      </c>
      <c r="F94" s="70" t="s">
        <v>7</v>
      </c>
      <c r="G94" s="75">
        <v>35672</v>
      </c>
      <c r="H94" s="35">
        <v>45492</v>
      </c>
      <c r="I94" s="38" t="s">
        <v>9</v>
      </c>
      <c r="J94" s="38">
        <v>200000</v>
      </c>
      <c r="K94" s="38"/>
      <c r="L94" s="58">
        <v>7093609328</v>
      </c>
      <c r="M94" s="38">
        <v>322404</v>
      </c>
    </row>
    <row r="95" spans="4:13">
      <c r="D95" s="38" t="str">
        <f>D94</f>
        <v>HFHYQA108</v>
      </c>
      <c r="E95" s="70" t="s">
        <v>200</v>
      </c>
      <c r="F95" s="70" t="s">
        <v>10</v>
      </c>
      <c r="G95" s="61">
        <v>36682</v>
      </c>
      <c r="H95" s="38"/>
      <c r="I95" s="38" t="s">
        <v>8</v>
      </c>
      <c r="J95" s="38"/>
      <c r="K95" s="38"/>
      <c r="L95" s="38"/>
      <c r="M95" s="38"/>
    </row>
    <row r="96" spans="4:13">
      <c r="D96" s="56" t="s">
        <v>201</v>
      </c>
      <c r="E96" s="56" t="s">
        <v>202</v>
      </c>
      <c r="F96" s="62" t="s">
        <v>7</v>
      </c>
      <c r="G96" s="56" t="s">
        <v>203</v>
      </c>
      <c r="H96" s="77" t="s">
        <v>204</v>
      </c>
      <c r="I96" s="62" t="s">
        <v>9</v>
      </c>
      <c r="J96" s="62">
        <v>200000</v>
      </c>
      <c r="K96" s="38"/>
      <c r="L96" s="58">
        <v>9538401373</v>
      </c>
      <c r="M96" s="38">
        <v>302124</v>
      </c>
    </row>
    <row r="97" spans="4:13">
      <c r="D97" s="56" t="s">
        <v>205</v>
      </c>
      <c r="E97" s="56" t="s">
        <v>206</v>
      </c>
      <c r="F97" s="62" t="s">
        <v>7</v>
      </c>
      <c r="G97" s="56" t="s">
        <v>207</v>
      </c>
      <c r="H97" s="77" t="s">
        <v>208</v>
      </c>
      <c r="I97" s="62" t="s">
        <v>9</v>
      </c>
      <c r="J97" s="62">
        <v>200000</v>
      </c>
      <c r="K97" s="38"/>
      <c r="L97" s="58">
        <v>8970265734</v>
      </c>
      <c r="M97" s="38">
        <v>413400</v>
      </c>
    </row>
    <row r="98" spans="4:13">
      <c r="D98" s="38" t="s">
        <v>209</v>
      </c>
      <c r="E98" s="70" t="s">
        <v>210</v>
      </c>
      <c r="F98" s="62" t="s">
        <v>7</v>
      </c>
      <c r="G98" s="35">
        <v>36744</v>
      </c>
      <c r="H98" s="35">
        <v>45505</v>
      </c>
      <c r="I98" s="62" t="s">
        <v>8</v>
      </c>
      <c r="J98" s="62">
        <v>200000</v>
      </c>
      <c r="K98" s="38"/>
      <c r="L98" s="38">
        <v>9769320206</v>
      </c>
      <c r="M98" s="38">
        <v>223925</v>
      </c>
    </row>
    <row r="99" spans="4:13">
      <c r="D99" s="38" t="s">
        <v>211</v>
      </c>
      <c r="E99" s="70" t="s">
        <v>212</v>
      </c>
      <c r="F99" s="62" t="s">
        <v>7</v>
      </c>
      <c r="G99" s="35">
        <v>36662</v>
      </c>
      <c r="H99" s="35">
        <v>45482</v>
      </c>
      <c r="I99" s="62" t="s">
        <v>9</v>
      </c>
      <c r="J99" s="62">
        <v>200000</v>
      </c>
      <c r="K99" s="38"/>
      <c r="L99" s="58">
        <v>9892663601</v>
      </c>
      <c r="M99" s="38">
        <v>401832</v>
      </c>
    </row>
    <row r="100" spans="4:13">
      <c r="D100" s="62">
        <v>2006493</v>
      </c>
      <c r="E100" s="72" t="s">
        <v>213</v>
      </c>
      <c r="F100" s="62" t="s">
        <v>7</v>
      </c>
      <c r="G100" s="74">
        <v>33119</v>
      </c>
      <c r="H100" s="74">
        <v>45496</v>
      </c>
      <c r="I100" s="62" t="s">
        <v>8</v>
      </c>
      <c r="J100" s="62">
        <v>200000</v>
      </c>
      <c r="K100" s="62"/>
      <c r="L100" s="38">
        <v>9082956323</v>
      </c>
      <c r="M100" s="38">
        <v>1000000</v>
      </c>
    </row>
    <row r="101" spans="4:13">
      <c r="D101" s="56" t="s">
        <v>214</v>
      </c>
      <c r="E101" s="56" t="s">
        <v>215</v>
      </c>
      <c r="F101" s="62" t="s">
        <v>7</v>
      </c>
      <c r="G101" s="56" t="s">
        <v>216</v>
      </c>
      <c r="H101" s="77">
        <v>45474</v>
      </c>
      <c r="I101" s="62" t="s">
        <v>9</v>
      </c>
      <c r="J101" s="62">
        <v>300000</v>
      </c>
      <c r="K101" s="62"/>
      <c r="L101" s="38"/>
      <c r="M101" s="38">
        <v>631800</v>
      </c>
    </row>
    <row r="102" spans="4:13">
      <c r="D102" s="56" t="s">
        <v>217</v>
      </c>
      <c r="E102" s="56" t="s">
        <v>218</v>
      </c>
      <c r="F102" s="62" t="s">
        <v>7</v>
      </c>
      <c r="G102" s="56" t="s">
        <v>219</v>
      </c>
      <c r="H102" s="77">
        <v>45481</v>
      </c>
      <c r="I102" s="62" t="s">
        <v>9</v>
      </c>
      <c r="J102" s="62">
        <v>300000</v>
      </c>
      <c r="K102" s="62"/>
      <c r="L102" s="38">
        <v>8778414371</v>
      </c>
      <c r="M102" s="38">
        <v>855396</v>
      </c>
    </row>
    <row r="103" spans="4:13">
      <c r="D103" s="62" t="str">
        <f t="shared" ref="D103:D104" si="13">D102</f>
        <v>HFPYQA023</v>
      </c>
      <c r="E103" s="62" t="s">
        <v>220</v>
      </c>
      <c r="F103" s="72" t="s">
        <v>10</v>
      </c>
      <c r="G103" s="74">
        <v>37097</v>
      </c>
      <c r="H103" s="62"/>
      <c r="I103" s="62" t="s">
        <v>8</v>
      </c>
      <c r="J103" s="62"/>
      <c r="K103" s="62"/>
      <c r="L103" s="38"/>
      <c r="M103" s="15"/>
    </row>
    <row r="104" spans="4:13">
      <c r="D104" s="62" t="str">
        <f t="shared" si="13"/>
        <v>HFPYQA023</v>
      </c>
      <c r="E104" s="62" t="s">
        <v>221</v>
      </c>
      <c r="F104" s="78" t="s">
        <v>222</v>
      </c>
      <c r="G104" s="74">
        <v>44826</v>
      </c>
      <c r="H104" s="62"/>
      <c r="I104" s="62" t="s">
        <v>9</v>
      </c>
      <c r="J104" s="62"/>
      <c r="K104" s="62"/>
      <c r="L104" s="38"/>
      <c r="M104" s="15"/>
    </row>
    <row r="105" spans="4:13">
      <c r="D105" s="56" t="s">
        <v>223</v>
      </c>
      <c r="E105" s="56" t="s">
        <v>224</v>
      </c>
      <c r="F105" s="62" t="s">
        <v>7</v>
      </c>
      <c r="G105" s="56" t="s">
        <v>225</v>
      </c>
      <c r="H105" s="77">
        <v>45467</v>
      </c>
      <c r="I105" s="62" t="s">
        <v>9</v>
      </c>
      <c r="J105" s="62">
        <v>300000</v>
      </c>
      <c r="K105" s="62"/>
      <c r="L105" s="38">
        <v>9176906609</v>
      </c>
      <c r="M105" s="38">
        <v>1501812</v>
      </c>
    </row>
    <row r="106" spans="4:13">
      <c r="D106" s="62" t="str">
        <f t="shared" ref="D106:D107" si="14">D105</f>
        <v>HFPYSC046</v>
      </c>
      <c r="E106" s="62" t="s">
        <v>226</v>
      </c>
      <c r="F106" s="72" t="s">
        <v>10</v>
      </c>
      <c r="G106" s="74">
        <v>29737</v>
      </c>
      <c r="H106" s="62"/>
      <c r="I106" s="62" t="s">
        <v>8</v>
      </c>
      <c r="J106" s="62"/>
      <c r="K106" s="62"/>
      <c r="L106" s="38"/>
      <c r="M106" s="15"/>
    </row>
    <row r="107" spans="4:13">
      <c r="D107" s="62" t="str">
        <f t="shared" si="14"/>
        <v>HFPYSC046</v>
      </c>
      <c r="E107" s="62" t="s">
        <v>227</v>
      </c>
      <c r="F107" s="79" t="s">
        <v>12</v>
      </c>
      <c r="G107" s="74">
        <v>40918</v>
      </c>
      <c r="H107" s="62"/>
      <c r="I107" s="62" t="s">
        <v>8</v>
      </c>
      <c r="J107" s="62"/>
      <c r="K107" s="62"/>
      <c r="L107" s="38"/>
      <c r="M107" s="15"/>
    </row>
    <row r="108" spans="4:13">
      <c r="D108" s="56" t="s">
        <v>228</v>
      </c>
      <c r="E108" s="56" t="s">
        <v>229</v>
      </c>
      <c r="F108" s="62" t="s">
        <v>7</v>
      </c>
      <c r="G108" s="56" t="s">
        <v>230</v>
      </c>
      <c r="H108" s="77">
        <v>45490</v>
      </c>
      <c r="I108" s="62" t="s">
        <v>9</v>
      </c>
      <c r="J108" s="62">
        <v>200000</v>
      </c>
      <c r="K108" s="62"/>
      <c r="L108" s="38">
        <v>9094861854</v>
      </c>
      <c r="M108" s="38">
        <v>345804</v>
      </c>
    </row>
    <row r="109" spans="4:13">
      <c r="D109" s="62" t="str">
        <f t="shared" ref="D109:D111" si="15">D108</f>
        <v>HFPYSC047</v>
      </c>
      <c r="E109" s="62" t="s">
        <v>231</v>
      </c>
      <c r="F109" s="72" t="s">
        <v>10</v>
      </c>
      <c r="G109" s="74">
        <v>34966</v>
      </c>
      <c r="H109" s="62"/>
      <c r="I109" s="62" t="s">
        <v>8</v>
      </c>
      <c r="J109" s="62"/>
      <c r="K109" s="62"/>
      <c r="L109" s="38"/>
      <c r="M109" s="15"/>
    </row>
    <row r="110" spans="4:13">
      <c r="D110" s="62" t="str">
        <f t="shared" si="15"/>
        <v>HFPYSC047</v>
      </c>
      <c r="E110" s="62" t="s">
        <v>232</v>
      </c>
      <c r="F110" s="78" t="s">
        <v>222</v>
      </c>
      <c r="G110" s="74">
        <v>43404</v>
      </c>
      <c r="H110" s="62"/>
      <c r="I110" s="62" t="s">
        <v>9</v>
      </c>
      <c r="J110" s="62"/>
      <c r="K110" s="62"/>
      <c r="L110" s="38"/>
      <c r="M110" s="15"/>
    </row>
    <row r="111" spans="4:13">
      <c r="D111" s="62" t="str">
        <f t="shared" si="15"/>
        <v>HFPYSC047</v>
      </c>
      <c r="E111" s="62" t="s">
        <v>233</v>
      </c>
      <c r="F111" s="79" t="s">
        <v>12</v>
      </c>
      <c r="G111" s="74">
        <v>44130</v>
      </c>
      <c r="H111" s="62"/>
      <c r="I111" s="62" t="s">
        <v>8</v>
      </c>
      <c r="J111" s="62"/>
      <c r="K111" s="62"/>
      <c r="L111" s="38"/>
      <c r="M111" s="15"/>
    </row>
    <row r="112" spans="4:13">
      <c r="D112" s="56" t="s">
        <v>234</v>
      </c>
      <c r="E112" s="56" t="s">
        <v>235</v>
      </c>
      <c r="F112" s="62" t="s">
        <v>7</v>
      </c>
      <c r="G112" s="56" t="s">
        <v>236</v>
      </c>
      <c r="H112" s="77">
        <v>45470</v>
      </c>
      <c r="I112" s="62" t="s">
        <v>9</v>
      </c>
      <c r="J112" s="62">
        <v>200000</v>
      </c>
      <c r="K112" s="62"/>
      <c r="L112" s="38">
        <v>76362746577</v>
      </c>
      <c r="M112" s="38">
        <v>761796</v>
      </c>
    </row>
    <row r="113" spans="4:13">
      <c r="D113" s="38" t="str">
        <f t="shared" ref="D113:D115" si="16">D112</f>
        <v>HFPYPD099</v>
      </c>
      <c r="E113" s="38" t="s">
        <v>237</v>
      </c>
      <c r="F113" s="70" t="s">
        <v>10</v>
      </c>
      <c r="G113" s="35">
        <v>33060</v>
      </c>
      <c r="H113" s="38"/>
      <c r="I113" s="62" t="s">
        <v>8</v>
      </c>
      <c r="J113" s="38"/>
      <c r="K113" s="38"/>
      <c r="L113" s="38"/>
      <c r="M113" s="15"/>
    </row>
    <row r="114" spans="4:13">
      <c r="D114" s="38" t="str">
        <f t="shared" si="16"/>
        <v>HFPYPD099</v>
      </c>
      <c r="E114" s="38" t="s">
        <v>238</v>
      </c>
      <c r="F114" s="80" t="s">
        <v>12</v>
      </c>
      <c r="G114" s="35">
        <v>42191</v>
      </c>
      <c r="H114" s="38"/>
      <c r="I114" s="62" t="s">
        <v>8</v>
      </c>
      <c r="J114" s="38"/>
      <c r="K114" s="38"/>
      <c r="L114" s="38"/>
      <c r="M114" s="15"/>
    </row>
    <row r="115" spans="4:13">
      <c r="D115" s="38" t="str">
        <f t="shared" si="16"/>
        <v>HFPYPD099</v>
      </c>
      <c r="E115" s="38" t="s">
        <v>239</v>
      </c>
      <c r="F115" s="80" t="s">
        <v>12</v>
      </c>
      <c r="G115" s="35">
        <v>45103</v>
      </c>
      <c r="H115" s="38"/>
      <c r="I115" s="62" t="s">
        <v>8</v>
      </c>
      <c r="J115" s="38"/>
      <c r="K115" s="38"/>
      <c r="L115" s="38"/>
      <c r="M115" s="15"/>
    </row>
    <row r="116" spans="4:13">
      <c r="D116" s="81">
        <v>2007000</v>
      </c>
      <c r="E116" s="62" t="s">
        <v>240</v>
      </c>
      <c r="F116" s="15" t="s">
        <v>7</v>
      </c>
      <c r="G116" s="82">
        <v>25719</v>
      </c>
      <c r="H116" s="23">
        <v>45474</v>
      </c>
      <c r="I116" s="62" t="s">
        <v>9</v>
      </c>
      <c r="J116" s="15">
        <v>1000000</v>
      </c>
      <c r="K116" s="15"/>
      <c r="L116" s="15"/>
      <c r="M116" s="15">
        <v>11803500</v>
      </c>
    </row>
    <row r="117" spans="4:13">
      <c r="D117" s="15">
        <f t="shared" ref="D117:D119" si="17">D116</f>
        <v>2007000</v>
      </c>
      <c r="E117" s="62" t="s">
        <v>241</v>
      </c>
      <c r="F117" s="15" t="s">
        <v>10</v>
      </c>
      <c r="G117" s="23">
        <v>29007</v>
      </c>
      <c r="H117" s="15"/>
      <c r="I117" s="62" t="s">
        <v>8</v>
      </c>
      <c r="J117" s="15"/>
      <c r="K117" s="15"/>
      <c r="L117" s="15"/>
      <c r="M117" s="15"/>
    </row>
    <row r="118" spans="4:13">
      <c r="D118" s="15">
        <f t="shared" si="17"/>
        <v>2007000</v>
      </c>
      <c r="E118" s="15" t="s">
        <v>242</v>
      </c>
      <c r="F118" s="15" t="s">
        <v>12</v>
      </c>
      <c r="G118" s="23">
        <v>42793</v>
      </c>
      <c r="H118" s="15"/>
      <c r="I118" s="62" t="s">
        <v>8</v>
      </c>
      <c r="J118" s="15"/>
      <c r="K118" s="15"/>
      <c r="L118" s="15"/>
      <c r="M118" s="15"/>
    </row>
    <row r="119" spans="4:13">
      <c r="D119" s="15">
        <f t="shared" si="17"/>
        <v>2007000</v>
      </c>
      <c r="E119" s="62" t="s">
        <v>243</v>
      </c>
      <c r="F119" s="15" t="s">
        <v>11</v>
      </c>
      <c r="G119" s="23">
        <v>37755</v>
      </c>
      <c r="H119" s="15"/>
      <c r="I119" s="62" t="s">
        <v>9</v>
      </c>
      <c r="J119" s="15"/>
      <c r="K119" s="15"/>
      <c r="L119" s="15"/>
      <c r="M119" s="15"/>
    </row>
    <row r="120" spans="4:13">
      <c r="D120" s="15" t="s">
        <v>244</v>
      </c>
      <c r="E120" s="62" t="s">
        <v>245</v>
      </c>
      <c r="F120" s="15" t="s">
        <v>7</v>
      </c>
      <c r="G120" s="23">
        <v>33035</v>
      </c>
      <c r="H120" s="23">
        <v>45479</v>
      </c>
      <c r="I120" s="62" t="s">
        <v>9</v>
      </c>
      <c r="J120" s="15">
        <v>200000</v>
      </c>
      <c r="K120" s="15"/>
      <c r="L120" s="15">
        <v>9324779572</v>
      </c>
      <c r="M120" s="15">
        <v>700000</v>
      </c>
    </row>
    <row r="121" spans="4:13">
      <c r="M121" s="7"/>
    </row>
    <row r="122" spans="4:13">
      <c r="M122" s="7"/>
    </row>
    <row r="123" spans="4:13">
      <c r="M123" s="7"/>
    </row>
    <row r="124" spans="4:13">
      <c r="M124" s="7"/>
    </row>
    <row r="125" spans="4:13">
      <c r="M125" s="7"/>
    </row>
    <row r="126" spans="4:13">
      <c r="M126" s="7"/>
    </row>
    <row r="127" spans="4:13">
      <c r="M127" s="7"/>
    </row>
    <row r="128" spans="4:13">
      <c r="M128" s="7"/>
    </row>
    <row r="129" spans="13:13">
      <c r="M129" s="7"/>
    </row>
    <row r="130" spans="13:13">
      <c r="M130" s="7"/>
    </row>
    <row r="131" spans="13:13">
      <c r="M131" s="7"/>
    </row>
    <row r="132" spans="13:13">
      <c r="M132" s="7"/>
    </row>
    <row r="133" spans="13:13">
      <c r="M133" s="7"/>
    </row>
    <row r="134" spans="13:13">
      <c r="M134" s="7"/>
    </row>
    <row r="135" spans="13:13">
      <c r="M135" s="7"/>
    </row>
    <row r="136" spans="13:13">
      <c r="M136" s="7"/>
    </row>
    <row r="137" spans="13:13">
      <c r="M137" s="7"/>
    </row>
    <row r="138" spans="13:13">
      <c r="M138" s="7"/>
    </row>
    <row r="139" spans="13:13">
      <c r="M139" s="7"/>
    </row>
    <row r="140" spans="13:13">
      <c r="M140" s="7"/>
    </row>
    <row r="141" spans="13:13">
      <c r="M141" s="7"/>
    </row>
    <row r="142" spans="13:13">
      <c r="M142" s="7"/>
    </row>
    <row r="143" spans="13:13">
      <c r="M143" s="7"/>
    </row>
    <row r="144" spans="13:13">
      <c r="M144" s="7"/>
    </row>
    <row r="145" spans="13:13">
      <c r="M145" s="7"/>
    </row>
    <row r="146" spans="13:13">
      <c r="M146" s="7"/>
    </row>
    <row r="147" spans="13:13">
      <c r="M147" s="7"/>
    </row>
    <row r="148" spans="13:13">
      <c r="M148" s="7"/>
    </row>
    <row r="149" spans="13:13">
      <c r="M149" s="7"/>
    </row>
    <row r="150" spans="13:13">
      <c r="M150" s="7"/>
    </row>
    <row r="151" spans="13:13">
      <c r="M151" s="7"/>
    </row>
    <row r="152" spans="13:13">
      <c r="M152" s="7"/>
    </row>
  </sheetData>
  <sortState ref="D10:L154">
    <sortCondition ref="D9:D154"/>
    <sortCondition ref="F9:F154" customList="Self,Wife,Husband,Spouse,Son,Daughter,Father,Mother,Father-In-Law,Mother-In-Law,Brother,Sister,Friend"/>
  </sortState>
  <mergeCells count="13">
    <mergeCell ref="D1:M1"/>
    <mergeCell ref="B34:B35"/>
    <mergeCell ref="B22:B23"/>
    <mergeCell ref="B24:B25"/>
    <mergeCell ref="B27:B28"/>
    <mergeCell ref="B29:B30"/>
    <mergeCell ref="B32:B33"/>
    <mergeCell ref="B14:B15"/>
    <mergeCell ref="B16:B17"/>
    <mergeCell ref="B19:B20"/>
    <mergeCell ref="D2:L8"/>
    <mergeCell ref="B9:B10"/>
    <mergeCell ref="B11:B12"/>
  </mergeCells>
  <conditionalFormatting sqref="G9">
    <cfRule type="expression" dxfId="139" priority="389" stopIfTrue="1">
      <formula>IF(AND(LOWER(D9)="son",LOWER(G9)="female"),TRUE,FALSE)</formula>
    </cfRule>
    <cfRule type="expression" dxfId="138" priority="390" stopIfTrue="1">
      <formula>IF(AND(LOWER(D9)="daughter",LOWER(G9)="male"),TRUE,FALSE)</formula>
    </cfRule>
    <cfRule type="expression" dxfId="137" priority="391" stopIfTrue="1">
      <formula>IF(AND(LOWER(D9)="husband",LOWER(G9)="female"),TRUE,FALSE)</formula>
    </cfRule>
    <cfRule type="expression" dxfId="136" priority="392" stopIfTrue="1">
      <formula>IF(AND(LOWER(D9)="wife",LOWER(G9)="male"),TRUE,FALSE)</formula>
    </cfRule>
    <cfRule type="expression" dxfId="135" priority="393" stopIfTrue="1">
      <formula>IF(AND(LOWER(D9)="father",LOWER(G9)="female"),TRUE,FALSE)</formula>
    </cfRule>
    <cfRule type="expression" dxfId="134" priority="394" stopIfTrue="1">
      <formula>IF(AND(LOWER(D9)="mother",LOWER(G9)="male"),TRUE,FALSE)</formula>
    </cfRule>
  </conditionalFormatting>
  <conditionalFormatting sqref="M874:AGO877">
    <cfRule type="expression" dxfId="133" priority="492" stopIfTrue="1">
      <formula>COUNTIF(V868:V874,V874)&gt;1</formula>
    </cfRule>
  </conditionalFormatting>
  <conditionalFormatting sqref="M149:AGH873">
    <cfRule type="expression" dxfId="132" priority="493" stopIfTrue="1">
      <formula>COUNTIF(W143:W149,V149)&gt;1</formula>
    </cfRule>
  </conditionalFormatting>
  <conditionalFormatting sqref="M121:AFY148 N12:T13 V12:AFY13 N10:AFY11 M26:AFY27 N14:AFY17 O18:AFY18 N29:AFY120">
    <cfRule type="expression" dxfId="131" priority="535" stopIfTrue="1">
      <formula>COUNTIF(X4:X10,V10)&gt;1</formula>
    </cfRule>
  </conditionalFormatting>
  <conditionalFormatting sqref="M28:P28 R28:AFW28 M25:AFW25">
    <cfRule type="expression" dxfId="130" priority="561" stopIfTrue="1">
      <formula>COUNTIF(Z19:Z25,V25)&gt;1</formula>
    </cfRule>
  </conditionalFormatting>
  <conditionalFormatting sqref="H9">
    <cfRule type="expression" dxfId="129" priority="631" stopIfTrue="1">
      <formula>IF(H9&lt;MEDIAN(H3:H9)*0.1,TRUE,FALSE)</formula>
    </cfRule>
  </conditionalFormatting>
  <conditionalFormatting sqref="Q28">
    <cfRule type="expression" dxfId="128" priority="77" stopIfTrue="1">
      <formula>COUNTIF(AB22:AB28,Z28)&gt;1</formula>
    </cfRule>
  </conditionalFormatting>
  <conditionalFormatting sqref="M24:AFY24">
    <cfRule type="expression" dxfId="127" priority="701" stopIfTrue="1">
      <formula>COUNTIF(X19:X24,V24)&gt;1</formula>
    </cfRule>
  </conditionalFormatting>
  <conditionalFormatting sqref="I20">
    <cfRule type="expression" dxfId="126" priority="743" stopIfTrue="1">
      <formula>IF(ISNUMBER(SEARCH("female",LOWER(I20))),FALSE,IF(ISNUMBER(SEARCH("male",LOWER(I20))),FALSE,IF(ISNUMBER(SEARCH("f",LOWER(I20))),FALSE,IF(ISNUMBER(SEARCH("m",LOWER(I20))),FALSE,TRUE))))</formula>
    </cfRule>
    <cfRule type="expression" dxfId="125" priority="744" stopIfTrue="1">
      <formula>IF(OR(AND(LOWER(F20)="wife",LOWER(I20)="male"),AND(LOWER(F20)="husband",LOWER(I20)="female")),TRUE,FALSE)</formula>
    </cfRule>
  </conditionalFormatting>
  <conditionalFormatting sqref="M21:AFY23">
    <cfRule type="expression" dxfId="124" priority="746" stopIfTrue="1">
      <formula>COUNTIF(X17:X21,V21)&gt;1</formula>
    </cfRule>
  </conditionalFormatting>
  <conditionalFormatting sqref="D9:E9">
    <cfRule type="expression" dxfId="123" priority="749" stopIfTrue="1">
      <formula>IF(INDEX($F9:$F15490,MATCH(1,($A9:$A15486=$A9)*($D9:$D15490="Parent"),0))&lt;INDEX($F9:$F15490,MATCH(1,($A9:$A15486=$A9)*($D9:$D15490="Self"),0)),TRUE,FALSE)</formula>
    </cfRule>
    <cfRule type="expression" dxfId="122" priority="750" stopIfTrue="1">
      <formula>IF(INDEX($F9:$F15490,MATCH(1,($A9:$A15486=$A9)*($D9:$D15490="Father"),0))&lt;INDEX($F9:$F15490,MATCH(1,($A9:$A15486=$A9)*($D9:$D15490="Self"),0)),TRUE,FALSE)</formula>
    </cfRule>
    <cfRule type="expression" dxfId="121" priority="751" stopIfTrue="1">
      <formula>IF(INDEX($F9:$F15490,MATCH(1,($A9:$A15486=$A9)*($D9:$D15490="Mother"),0))&lt;INDEX($F9:$F15490,MATCH(1,($A9:$A15486=$A9)*($D9:$D15490="Self"),0)),TRUE,FALSE)</formula>
    </cfRule>
    <cfRule type="expression" dxfId="120" priority="752" stopIfTrue="1">
      <formula>IF(INDEX($F9:$F15490,MATCH(1,($A9:$A15486=$A9)*($D9:$D15490="Child"),0))&gt;INDEX($F9:$F15490,MATCH(1,($A9:$A15486=$A9)*($D9:$D15490="Self"),0)),TRUE,FALSE)</formula>
    </cfRule>
    <cfRule type="expression" dxfId="119" priority="753" stopIfTrue="1">
      <formula>IF(INDEX($F9:$F15490,MATCH(1,($A9:$A15486=$A9)*($D9:$D15490="Son"),0))&gt;INDEX($F9:$F15490,MATCH(1,($A9:$A15486=$A9)*($D9:$D15490="Self"),0)),TRUE,FALSE)</formula>
    </cfRule>
    <cfRule type="expression" dxfId="118" priority="754" stopIfTrue="1">
      <formula>IF(INDEX($F9:$F15490,MATCH(1,($A9:$A15486=$A9)*($D9:$D15490="Daughter"),0))&gt;INDEX($F9:$F15490,MATCH(1,($A9:$A15486=$A9)*($D9:$D15490="Self"),0)),TRUE,FALSE)</formula>
    </cfRule>
  </conditionalFormatting>
  <conditionalFormatting sqref="L20:AFX20 N19:AFX19">
    <cfRule type="expression" dxfId="117" priority="755" stopIfTrue="1">
      <formula>COUNTIF(X15:X19,U19)&gt;1</formula>
    </cfRule>
  </conditionalFormatting>
  <conditionalFormatting sqref="L9:M9">
    <cfRule type="expression" dxfId="116" priority="756" stopIfTrue="1">
      <formula>AND(NOT(ISBLANK($L12)),NOT(ISNUMBER($L12)))</formula>
    </cfRule>
    <cfRule type="expression" dxfId="115" priority="757" stopIfTrue="1">
      <formula>AND(NOT(ISBLANK($L12)),NOT(LEN($L12)))</formula>
    </cfRule>
  </conditionalFormatting>
  <conditionalFormatting sqref="L9:M9">
    <cfRule type="expression" dxfId="114" priority="758" stopIfTrue="1">
      <formula>COUNTIF(L3:L12,L12)&gt;1</formula>
    </cfRule>
  </conditionalFormatting>
  <conditionalFormatting sqref="N18">
    <cfRule type="expression" dxfId="113" priority="76" stopIfTrue="1">
      <formula>COUNTIF(Z14:Z18,W18)&gt;1</formula>
    </cfRule>
  </conditionalFormatting>
  <conditionalFormatting sqref="D40">
    <cfRule type="expression" dxfId="112" priority="68">
      <formula>WEEKDAY(#REF!,2)&lt;2</formula>
    </cfRule>
  </conditionalFormatting>
  <conditionalFormatting sqref="D41">
    <cfRule type="expression" dxfId="111" priority="69">
      <formula>WEEKDAY(#REF!,2)&lt;2</formula>
    </cfRule>
  </conditionalFormatting>
  <conditionalFormatting sqref="D58">
    <cfRule type="duplicateValues" dxfId="110" priority="67"/>
  </conditionalFormatting>
  <conditionalFormatting sqref="H58">
    <cfRule type="duplicateValues" dxfId="109" priority="66" stopIfTrue="1"/>
  </conditionalFormatting>
  <conditionalFormatting sqref="D61">
    <cfRule type="duplicateValues" dxfId="108" priority="65"/>
  </conditionalFormatting>
  <conditionalFormatting sqref="G61:G64">
    <cfRule type="duplicateValues" dxfId="107" priority="64" stopIfTrue="1"/>
  </conditionalFormatting>
  <conditionalFormatting sqref="D65">
    <cfRule type="duplicateValues" dxfId="106" priority="63"/>
  </conditionalFormatting>
  <conditionalFormatting sqref="G66:G68">
    <cfRule type="duplicateValues" dxfId="105" priority="62" stopIfTrue="1"/>
  </conditionalFormatting>
  <conditionalFormatting sqref="D69">
    <cfRule type="duplicateValues" dxfId="104" priority="61"/>
  </conditionalFormatting>
  <conditionalFormatting sqref="H69">
    <cfRule type="duplicateValues" dxfId="103" priority="60" stopIfTrue="1"/>
  </conditionalFormatting>
  <conditionalFormatting sqref="D72">
    <cfRule type="duplicateValues" dxfId="102" priority="59"/>
  </conditionalFormatting>
  <conditionalFormatting sqref="H72">
    <cfRule type="duplicateValues" dxfId="101" priority="58" stopIfTrue="1"/>
  </conditionalFormatting>
  <conditionalFormatting sqref="D75">
    <cfRule type="duplicateValues" dxfId="100" priority="57"/>
  </conditionalFormatting>
  <conditionalFormatting sqref="H75">
    <cfRule type="duplicateValues" dxfId="99" priority="56" stopIfTrue="1"/>
  </conditionalFormatting>
  <conditionalFormatting sqref="D79">
    <cfRule type="duplicateValues" dxfId="98" priority="55"/>
  </conditionalFormatting>
  <conditionalFormatting sqref="G79">
    <cfRule type="duplicateValues" dxfId="97" priority="54" stopIfTrue="1"/>
  </conditionalFormatting>
  <conditionalFormatting sqref="D80">
    <cfRule type="duplicateValues" dxfId="96" priority="53"/>
  </conditionalFormatting>
  <conditionalFormatting sqref="D80">
    <cfRule type="duplicateValues" dxfId="95" priority="51"/>
    <cfRule type="duplicateValues" dxfId="94" priority="52"/>
  </conditionalFormatting>
  <conditionalFormatting sqref="D80">
    <cfRule type="duplicateValues" dxfId="93" priority="50"/>
  </conditionalFormatting>
  <conditionalFormatting sqref="G80">
    <cfRule type="duplicateValues" dxfId="92" priority="49" stopIfTrue="1"/>
  </conditionalFormatting>
  <conditionalFormatting sqref="H80">
    <cfRule type="duplicateValues" dxfId="91" priority="48" stopIfTrue="1"/>
  </conditionalFormatting>
  <conditionalFormatting sqref="D83">
    <cfRule type="duplicateValues" dxfId="90" priority="45"/>
  </conditionalFormatting>
  <conditionalFormatting sqref="D83">
    <cfRule type="duplicateValues" dxfId="89" priority="46"/>
    <cfRule type="duplicateValues" dxfId="88" priority="47"/>
  </conditionalFormatting>
  <conditionalFormatting sqref="G83">
    <cfRule type="duplicateValues" dxfId="87" priority="44" stopIfTrue="1"/>
  </conditionalFormatting>
  <conditionalFormatting sqref="H83">
    <cfRule type="duplicateValues" dxfId="86" priority="43" stopIfTrue="1"/>
  </conditionalFormatting>
  <conditionalFormatting sqref="D84">
    <cfRule type="duplicateValues" dxfId="85" priority="40"/>
  </conditionalFormatting>
  <conditionalFormatting sqref="D84">
    <cfRule type="duplicateValues" dxfId="84" priority="41"/>
    <cfRule type="duplicateValues" dxfId="83" priority="42"/>
  </conditionalFormatting>
  <conditionalFormatting sqref="G84">
    <cfRule type="duplicateValues" dxfId="82" priority="39" stopIfTrue="1"/>
  </conditionalFormatting>
  <conditionalFormatting sqref="H84">
    <cfRule type="duplicateValues" dxfId="81" priority="38" stopIfTrue="1"/>
  </conditionalFormatting>
  <conditionalFormatting sqref="D85">
    <cfRule type="duplicateValues" dxfId="80" priority="35"/>
  </conditionalFormatting>
  <conditionalFormatting sqref="D85">
    <cfRule type="duplicateValues" dxfId="79" priority="36"/>
    <cfRule type="duplicateValues" dxfId="78" priority="37"/>
  </conditionalFormatting>
  <conditionalFormatting sqref="G85:G87">
    <cfRule type="duplicateValues" dxfId="77" priority="34" stopIfTrue="1"/>
  </conditionalFormatting>
  <conditionalFormatting sqref="H85">
    <cfRule type="duplicateValues" dxfId="76" priority="33" stopIfTrue="1"/>
  </conditionalFormatting>
  <conditionalFormatting sqref="D88">
    <cfRule type="duplicateValues" dxfId="75" priority="32"/>
  </conditionalFormatting>
  <conditionalFormatting sqref="D88">
    <cfRule type="duplicateValues" dxfId="74" priority="30"/>
    <cfRule type="duplicateValues" dxfId="73" priority="31"/>
  </conditionalFormatting>
  <conditionalFormatting sqref="D88">
    <cfRule type="duplicateValues" dxfId="72" priority="29"/>
  </conditionalFormatting>
  <conditionalFormatting sqref="G88">
    <cfRule type="duplicateValues" dxfId="71" priority="28" stopIfTrue="1"/>
  </conditionalFormatting>
  <conditionalFormatting sqref="D89">
    <cfRule type="duplicateValues" dxfId="70" priority="27"/>
  </conditionalFormatting>
  <conditionalFormatting sqref="D89">
    <cfRule type="duplicateValues" dxfId="69" priority="25"/>
    <cfRule type="duplicateValues" dxfId="68" priority="26"/>
  </conditionalFormatting>
  <conditionalFormatting sqref="D89">
    <cfRule type="duplicateValues" dxfId="67" priority="24"/>
  </conditionalFormatting>
  <conditionalFormatting sqref="G89">
    <cfRule type="duplicateValues" dxfId="66" priority="23" stopIfTrue="1"/>
  </conditionalFormatting>
  <conditionalFormatting sqref="H88">
    <cfRule type="duplicateValues" dxfId="65" priority="22" stopIfTrue="1"/>
  </conditionalFormatting>
  <conditionalFormatting sqref="H89">
    <cfRule type="duplicateValues" dxfId="64" priority="21" stopIfTrue="1"/>
  </conditionalFormatting>
  <conditionalFormatting sqref="D90">
    <cfRule type="duplicateValues" dxfId="63" priority="20"/>
  </conditionalFormatting>
  <conditionalFormatting sqref="D90">
    <cfRule type="duplicateValues" dxfId="62" priority="18"/>
    <cfRule type="duplicateValues" dxfId="61" priority="19"/>
  </conditionalFormatting>
  <conditionalFormatting sqref="D90">
    <cfRule type="duplicateValues" dxfId="60" priority="17"/>
  </conditionalFormatting>
  <conditionalFormatting sqref="G90">
    <cfRule type="duplicateValues" dxfId="59" priority="16" stopIfTrue="1"/>
  </conditionalFormatting>
  <conditionalFormatting sqref="G91:G93">
    <cfRule type="duplicateValues" dxfId="58" priority="15" stopIfTrue="1"/>
  </conditionalFormatting>
  <conditionalFormatting sqref="H90">
    <cfRule type="duplicateValues" dxfId="57" priority="14" stopIfTrue="1"/>
  </conditionalFormatting>
  <conditionalFormatting sqref="D94">
    <cfRule type="duplicateValues" dxfId="56" priority="13"/>
  </conditionalFormatting>
  <conditionalFormatting sqref="D94">
    <cfRule type="duplicateValues" dxfId="55" priority="11"/>
    <cfRule type="duplicateValues" dxfId="54" priority="12"/>
  </conditionalFormatting>
  <conditionalFormatting sqref="D94">
    <cfRule type="duplicateValues" dxfId="53" priority="10"/>
  </conditionalFormatting>
  <conditionalFormatting sqref="G94">
    <cfRule type="duplicateValues" dxfId="52" priority="9" stopIfTrue="1"/>
  </conditionalFormatting>
  <conditionalFormatting sqref="D39:D41">
    <cfRule type="expression" dxfId="51" priority="70">
      <formula>WEEKDAY($G39,2)&lt;2</formula>
    </cfRule>
    <cfRule type="expression" priority="71">
      <formula>WEEKDAY($G39,2)&lt;2</formula>
    </cfRule>
    <cfRule type="expression" dxfId="50" priority="72">
      <formula>WEEKDAY($G39,1)&lt;1</formula>
    </cfRule>
    <cfRule type="expression" dxfId="49" priority="73">
      <formula>WEEKDAY(#REF!,2)&lt;2</formula>
    </cfRule>
    <cfRule type="expression" dxfId="48" priority="74">
      <formula>WEEKDAY(#REF!,2)&lt;2</formula>
    </cfRule>
  </conditionalFormatting>
  <conditionalFormatting sqref="E39:E57">
    <cfRule type="expression" dxfId="47" priority="75">
      <formula>WEEKDAY($F39,2)&lt;2</formula>
    </cfRule>
  </conditionalFormatting>
  <conditionalFormatting sqref="F103">
    <cfRule type="duplicateValues" dxfId="46" priority="8" stopIfTrue="1"/>
  </conditionalFormatting>
  <conditionalFormatting sqref="F106">
    <cfRule type="duplicateValues" dxfId="45" priority="7" stopIfTrue="1"/>
  </conditionalFormatting>
  <conditionalFormatting sqref="F107">
    <cfRule type="duplicateValues" dxfId="44" priority="6" stopIfTrue="1"/>
  </conditionalFormatting>
  <conditionalFormatting sqref="F113">
    <cfRule type="duplicateValues" dxfId="43" priority="5" stopIfTrue="1"/>
  </conditionalFormatting>
  <conditionalFormatting sqref="F114">
    <cfRule type="duplicateValues" dxfId="42" priority="4" stopIfTrue="1"/>
  </conditionalFormatting>
  <conditionalFormatting sqref="F115">
    <cfRule type="duplicateValues" dxfId="41" priority="3" stopIfTrue="1"/>
  </conditionalFormatting>
  <conditionalFormatting sqref="F109">
    <cfRule type="duplicateValues" dxfId="40" priority="2" stopIfTrue="1"/>
  </conditionalFormatting>
  <conditionalFormatting sqref="F111">
    <cfRule type="duplicateValues" dxfId="39" priority="1" stopIfTrue="1"/>
  </conditionalFormatting>
  <dataValidations disablePrompts="1" count="1">
    <dataValidation type="list" allowBlank="1" showInputMessage="1" showErrorMessage="1" sqref="O1">
      <formula1>$D$10:$D$152</formula1>
    </dataValidation>
  </dataValidations>
  <hyperlinks>
    <hyperlink ref="K10" r:id="rId1"/>
    <hyperlink ref="K11" r:id="rId2"/>
    <hyperlink ref="K15" r:id="rId3"/>
    <hyperlink ref="K16" r:id="rId4"/>
    <hyperlink ref="K17" r:id="rId5"/>
    <hyperlink ref="K20" r:id="rId6"/>
    <hyperlink ref="K22" r:id="rId7"/>
    <hyperlink ref="K25" r:id="rId8"/>
    <hyperlink ref="K26" r:id="rId9"/>
    <hyperlink ref="K27" r:id="rId10"/>
    <hyperlink ref="D100" r:id="rId11" display="javascript:void(0);"/>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O45"/>
  <sheetViews>
    <sheetView showGridLines="0" tabSelected="1" topLeftCell="A9" zoomScale="80" zoomScaleNormal="80" workbookViewId="0">
      <selection activeCell="E15" sqref="E15"/>
    </sheetView>
  </sheetViews>
  <sheetFormatPr defaultColWidth="8.81640625" defaultRowHeight="14.5"/>
  <cols>
    <col min="1" max="1" width="3.7265625" customWidth="1"/>
    <col min="2" max="2" width="27.453125" customWidth="1"/>
    <col min="3" max="3" width="3.7265625" customWidth="1"/>
    <col min="4" max="4" width="13.26953125" style="12" customWidth="1"/>
    <col min="5" max="5" width="35.453125" style="12" bestFit="1" customWidth="1"/>
    <col min="6" max="6" width="11.453125" style="12" customWidth="1"/>
    <col min="7" max="7" width="15.26953125" style="12" customWidth="1"/>
    <col min="8" max="8" width="30.7265625" style="12" customWidth="1"/>
    <col min="9" max="9" width="10.1796875" customWidth="1"/>
    <col min="10" max="10" width="17.26953125" customWidth="1"/>
    <col min="11" max="11" width="38.453125" bestFit="1" customWidth="1"/>
    <col min="12" max="12" width="19" customWidth="1"/>
    <col min="13" max="13" width="17.81640625" customWidth="1"/>
    <col min="14" max="14" width="10.453125" customWidth="1"/>
    <col min="17" max="17" width="17.453125" customWidth="1"/>
    <col min="18" max="18" width="18.81640625" bestFit="1" customWidth="1"/>
    <col min="19" max="19" width="11.81640625" customWidth="1"/>
  </cols>
  <sheetData>
    <row r="1" spans="2:15" ht="23.25" customHeight="1">
      <c r="C1" s="9"/>
      <c r="D1" s="83" t="s">
        <v>41</v>
      </c>
      <c r="E1" s="83"/>
      <c r="F1" s="83"/>
      <c r="G1" s="83"/>
      <c r="H1" s="83"/>
      <c r="I1" s="83"/>
      <c r="J1" s="83"/>
      <c r="K1" s="83"/>
      <c r="L1" s="83"/>
    </row>
    <row r="2" spans="2:15" ht="23.25" customHeight="1">
      <c r="D2" s="87" t="s">
        <v>51</v>
      </c>
      <c r="E2" s="88"/>
      <c r="F2" s="88"/>
      <c r="G2" s="88"/>
      <c r="H2" s="88"/>
      <c r="I2" s="88"/>
      <c r="J2" s="88"/>
      <c r="K2" s="88"/>
      <c r="L2" s="88"/>
      <c r="O2" s="3"/>
    </row>
    <row r="3" spans="2:15" ht="23.25" customHeight="1">
      <c r="D3" s="88"/>
      <c r="E3" s="88"/>
      <c r="F3" s="88"/>
      <c r="G3" s="88"/>
      <c r="H3" s="88"/>
      <c r="I3" s="88"/>
      <c r="J3" s="88"/>
      <c r="K3" s="88"/>
      <c r="L3" s="88"/>
      <c r="O3" s="3"/>
    </row>
    <row r="4" spans="2:15" ht="23.25" customHeight="1">
      <c r="D4" s="88"/>
      <c r="E4" s="88"/>
      <c r="F4" s="88"/>
      <c r="G4" s="88"/>
      <c r="H4" s="88"/>
      <c r="I4" s="88"/>
      <c r="J4" s="88"/>
      <c r="K4" s="88"/>
      <c r="L4" s="88"/>
    </row>
    <row r="5" spans="2:15" ht="23.25" customHeight="1">
      <c r="D5" s="88"/>
      <c r="E5" s="88"/>
      <c r="F5" s="88"/>
      <c r="G5" s="88"/>
      <c r="H5" s="88"/>
      <c r="I5" s="88"/>
      <c r="J5" s="88"/>
      <c r="K5" s="88"/>
      <c r="L5" s="88"/>
    </row>
    <row r="6" spans="2:15" ht="23.25" customHeight="1">
      <c r="D6" s="88"/>
      <c r="E6" s="88"/>
      <c r="F6" s="88"/>
      <c r="G6" s="88"/>
      <c r="H6" s="88"/>
      <c r="I6" s="88"/>
      <c r="J6" s="88"/>
      <c r="K6" s="88"/>
      <c r="L6" s="88"/>
    </row>
    <row r="7" spans="2:15" ht="23.25" customHeight="1">
      <c r="D7" s="88"/>
      <c r="E7" s="88"/>
      <c r="F7" s="88"/>
      <c r="G7" s="88"/>
      <c r="H7" s="88"/>
      <c r="I7" s="88"/>
      <c r="J7" s="88"/>
      <c r="K7" s="88"/>
      <c r="L7" s="88"/>
    </row>
    <row r="8" spans="2:15" ht="23.25" customHeight="1">
      <c r="D8" s="88"/>
      <c r="E8" s="88"/>
      <c r="F8" s="88"/>
      <c r="G8" s="88"/>
      <c r="H8" s="88"/>
      <c r="I8" s="88"/>
      <c r="J8" s="88"/>
      <c r="K8" s="88"/>
      <c r="L8" s="88"/>
    </row>
    <row r="9" spans="2:15" ht="16.5">
      <c r="B9" s="85" t="s">
        <v>42</v>
      </c>
      <c r="D9" s="11" t="s">
        <v>0</v>
      </c>
      <c r="E9" s="11" t="s">
        <v>1</v>
      </c>
      <c r="F9" s="11" t="s">
        <v>2</v>
      </c>
      <c r="G9" s="11" t="s">
        <v>46</v>
      </c>
      <c r="H9" s="11" t="s">
        <v>50</v>
      </c>
      <c r="N9" s="1"/>
    </row>
    <row r="10" spans="2:15" ht="15" thickBot="1">
      <c r="B10" s="86"/>
      <c r="D10" s="20">
        <v>31349</v>
      </c>
      <c r="E10" s="21" t="s">
        <v>81</v>
      </c>
      <c r="F10" s="21" t="s">
        <v>82</v>
      </c>
      <c r="G10" s="22">
        <v>45488</v>
      </c>
      <c r="H10" s="15" t="s">
        <v>83</v>
      </c>
      <c r="M10" s="7"/>
    </row>
    <row r="11" spans="2:15">
      <c r="B11" s="84">
        <f>COUNTA(F10:F1048576)</f>
        <v>33</v>
      </c>
      <c r="D11" s="38" t="s">
        <v>313</v>
      </c>
      <c r="E11" s="38" t="s">
        <v>312</v>
      </c>
      <c r="F11" s="27" t="s">
        <v>7</v>
      </c>
      <c r="G11" s="38" t="s">
        <v>309</v>
      </c>
      <c r="H11" s="26" t="s">
        <v>83</v>
      </c>
      <c r="M11" s="7"/>
    </row>
    <row r="12" spans="2:15">
      <c r="B12" s="84"/>
      <c r="D12" s="38" t="s">
        <v>311</v>
      </c>
      <c r="E12" s="38" t="s">
        <v>310</v>
      </c>
      <c r="F12" s="27" t="s">
        <v>7</v>
      </c>
      <c r="G12" s="38" t="s">
        <v>309</v>
      </c>
      <c r="H12" s="26" t="s">
        <v>83</v>
      </c>
      <c r="M12" s="7"/>
    </row>
    <row r="13" spans="2:15">
      <c r="B13" s="85" t="s">
        <v>15</v>
      </c>
      <c r="C13" s="2"/>
      <c r="D13" s="38" t="s">
        <v>308</v>
      </c>
      <c r="E13" s="38" t="s">
        <v>307</v>
      </c>
      <c r="F13" s="27" t="s">
        <v>7</v>
      </c>
      <c r="G13" s="46">
        <v>45473</v>
      </c>
      <c r="H13" s="26" t="s">
        <v>83</v>
      </c>
      <c r="M13" s="7"/>
    </row>
    <row r="14" spans="2:15" ht="15" thickBot="1">
      <c r="B14" s="86"/>
      <c r="C14" s="2"/>
      <c r="D14" s="44" t="s">
        <v>306</v>
      </c>
      <c r="E14" s="45" t="s">
        <v>305</v>
      </c>
      <c r="F14" s="27" t="s">
        <v>7</v>
      </c>
      <c r="G14" s="39">
        <v>45492</v>
      </c>
      <c r="H14" s="26" t="s">
        <v>83</v>
      </c>
      <c r="M14" s="7"/>
    </row>
    <row r="15" spans="2:15">
      <c r="B15" s="84">
        <f>SUM(COUNTIF($F$10:$F$15136,"Self"),COUNTIF($F$10:$F$15137,"Employee"),COUNTIF($F$10:$F$15137,"Emp"))</f>
        <v>32</v>
      </c>
      <c r="C15" s="5"/>
      <c r="D15" s="44" t="s">
        <v>304</v>
      </c>
      <c r="E15" s="44" t="s">
        <v>319</v>
      </c>
      <c r="F15" s="27" t="s">
        <v>7</v>
      </c>
      <c r="G15" s="39">
        <v>45486</v>
      </c>
      <c r="H15" s="26" t="s">
        <v>83</v>
      </c>
      <c r="I15" s="17"/>
      <c r="J15" s="17"/>
      <c r="M15" s="7"/>
    </row>
    <row r="16" spans="2:15">
      <c r="B16" s="84"/>
      <c r="C16" s="2"/>
      <c r="D16" s="44" t="s">
        <v>303</v>
      </c>
      <c r="E16" s="44" t="s">
        <v>302</v>
      </c>
      <c r="F16" s="27" t="s">
        <v>7</v>
      </c>
      <c r="G16" s="39">
        <v>45463</v>
      </c>
      <c r="H16" s="26" t="s">
        <v>83</v>
      </c>
      <c r="I16" s="17"/>
      <c r="J16" s="17"/>
      <c r="M16" s="7"/>
    </row>
    <row r="17" spans="2:13">
      <c r="B17" s="2"/>
      <c r="C17" s="2"/>
      <c r="D17" s="44" t="s">
        <v>301</v>
      </c>
      <c r="E17" s="45" t="s">
        <v>300</v>
      </c>
      <c r="F17" s="27" t="s">
        <v>7</v>
      </c>
      <c r="G17" s="39">
        <v>45478</v>
      </c>
      <c r="H17" s="26" t="s">
        <v>83</v>
      </c>
      <c r="I17" s="17"/>
      <c r="J17" s="17"/>
      <c r="M17" s="7"/>
    </row>
    <row r="18" spans="2:13">
      <c r="B18" s="85" t="s">
        <v>10</v>
      </c>
      <c r="C18" s="4"/>
      <c r="D18" s="44" t="s">
        <v>299</v>
      </c>
      <c r="E18" s="43" t="s">
        <v>317</v>
      </c>
      <c r="F18" s="27" t="s">
        <v>7</v>
      </c>
      <c r="G18" s="39">
        <v>45477</v>
      </c>
      <c r="H18" s="26" t="s">
        <v>83</v>
      </c>
      <c r="I18" s="17"/>
      <c r="J18" s="16"/>
      <c r="M18" s="7"/>
    </row>
    <row r="19" spans="2:13" ht="15" thickBot="1">
      <c r="B19" s="86"/>
      <c r="C19" s="2"/>
      <c r="D19" s="42" t="s">
        <v>298</v>
      </c>
      <c r="E19" s="40" t="s">
        <v>318</v>
      </c>
      <c r="F19" s="27" t="s">
        <v>7</v>
      </c>
      <c r="G19" s="39">
        <v>45453</v>
      </c>
      <c r="H19" s="26" t="s">
        <v>83</v>
      </c>
      <c r="M19" s="7"/>
    </row>
    <row r="20" spans="2:13">
      <c r="B20" s="84">
        <f>SUM(COUNTIF($F$10:$F$15137,"Spouse"),COUNTIF($F$43:$F$15137,"Wife"),COUNTIF($F$43:$F$15137,"Husband"))</f>
        <v>0</v>
      </c>
      <c r="C20" s="7"/>
      <c r="D20" s="42" t="s">
        <v>297</v>
      </c>
      <c r="E20" s="40" t="s">
        <v>296</v>
      </c>
      <c r="F20" s="27" t="s">
        <v>7</v>
      </c>
      <c r="G20" s="39">
        <v>45450</v>
      </c>
      <c r="H20" s="26" t="s">
        <v>83</v>
      </c>
      <c r="M20" s="7"/>
    </row>
    <row r="21" spans="2:13">
      <c r="B21" s="84"/>
      <c r="C21" s="2"/>
      <c r="D21" s="41" t="s">
        <v>295</v>
      </c>
      <c r="E21" s="40" t="s">
        <v>294</v>
      </c>
      <c r="F21" s="27" t="s">
        <v>7</v>
      </c>
      <c r="G21" s="39">
        <v>45455</v>
      </c>
      <c r="H21" s="26" t="s">
        <v>83</v>
      </c>
      <c r="M21" s="7"/>
    </row>
    <row r="22" spans="2:13">
      <c r="B22" s="2"/>
      <c r="C22" s="2"/>
      <c r="D22" s="36" t="s">
        <v>293</v>
      </c>
      <c r="E22" s="36" t="s">
        <v>292</v>
      </c>
      <c r="F22" s="27" t="s">
        <v>7</v>
      </c>
      <c r="G22" s="35">
        <v>45485</v>
      </c>
      <c r="H22" s="26" t="s">
        <v>83</v>
      </c>
      <c r="M22" s="7"/>
    </row>
    <row r="23" spans="2:13">
      <c r="B23" s="85" t="s">
        <v>38</v>
      </c>
      <c r="C23" s="2"/>
      <c r="D23" s="38" t="s">
        <v>291</v>
      </c>
      <c r="E23" s="38" t="s">
        <v>290</v>
      </c>
      <c r="F23" s="27" t="s">
        <v>7</v>
      </c>
      <c r="G23" s="35">
        <v>45471</v>
      </c>
      <c r="H23" s="26" t="s">
        <v>83</v>
      </c>
      <c r="M23" s="7"/>
    </row>
    <row r="24" spans="2:13" ht="15" thickBot="1">
      <c r="B24" s="86"/>
      <c r="C24" s="5"/>
      <c r="D24" s="38" t="s">
        <v>289</v>
      </c>
      <c r="E24" s="38" t="s">
        <v>288</v>
      </c>
      <c r="F24" s="27" t="s">
        <v>7</v>
      </c>
      <c r="G24" s="35">
        <v>45477</v>
      </c>
      <c r="H24" s="26" t="s">
        <v>83</v>
      </c>
      <c r="M24" s="7"/>
    </row>
    <row r="25" spans="2:13">
      <c r="B25" s="84">
        <f>SUM(COUNTIF($F$10:$F$15137,"Children"),COUNTIF($F$43:$F$15137,"Child"),COUNTIF($F$43:$F$15137,"Son"),COUNTIF($F$43:$F$15137,"Daughter"))</f>
        <v>0</v>
      </c>
      <c r="C25" s="2"/>
      <c r="D25" s="37" t="s">
        <v>287</v>
      </c>
      <c r="E25" s="36" t="s">
        <v>286</v>
      </c>
      <c r="F25" s="27" t="s">
        <v>7</v>
      </c>
      <c r="G25" s="35">
        <v>45460</v>
      </c>
      <c r="H25" s="26" t="s">
        <v>83</v>
      </c>
      <c r="M25" s="7"/>
    </row>
    <row r="26" spans="2:13">
      <c r="B26" s="84"/>
      <c r="C26" s="6"/>
      <c r="D26" s="34" t="s">
        <v>285</v>
      </c>
      <c r="E26" s="34" t="s">
        <v>284</v>
      </c>
      <c r="F26" s="27" t="s">
        <v>7</v>
      </c>
      <c r="G26" s="33" t="s">
        <v>283</v>
      </c>
      <c r="H26" s="26" t="s">
        <v>83</v>
      </c>
      <c r="M26" s="7"/>
    </row>
    <row r="27" spans="2:13">
      <c r="B27" s="2"/>
      <c r="C27" s="4"/>
      <c r="D27" s="34" t="s">
        <v>282</v>
      </c>
      <c r="E27" s="34" t="s">
        <v>281</v>
      </c>
      <c r="F27" s="27" t="s">
        <v>7</v>
      </c>
      <c r="G27" s="33">
        <v>45476</v>
      </c>
      <c r="H27" s="26" t="s">
        <v>83</v>
      </c>
      <c r="M27" s="7"/>
    </row>
    <row r="28" spans="2:13">
      <c r="B28" s="85" t="s">
        <v>39</v>
      </c>
      <c r="C28" s="2"/>
      <c r="D28" s="34" t="s">
        <v>280</v>
      </c>
      <c r="E28" s="34" t="s">
        <v>279</v>
      </c>
      <c r="F28" s="27" t="s">
        <v>7</v>
      </c>
      <c r="G28" s="33">
        <v>45477</v>
      </c>
      <c r="H28" s="26" t="s">
        <v>83</v>
      </c>
      <c r="M28" s="7"/>
    </row>
    <row r="29" spans="2:13" ht="15" thickBot="1">
      <c r="B29" s="86"/>
      <c r="C29" s="2"/>
      <c r="D29" s="34" t="s">
        <v>278</v>
      </c>
      <c r="E29" s="34" t="s">
        <v>277</v>
      </c>
      <c r="F29" s="27" t="s">
        <v>7</v>
      </c>
      <c r="G29" s="33">
        <v>45483</v>
      </c>
      <c r="H29" s="26" t="s">
        <v>83</v>
      </c>
      <c r="M29" s="7"/>
    </row>
    <row r="30" spans="2:13">
      <c r="B30" s="84">
        <f>SUM(COUNTIF($F$43:$F$15137,"Parent"),COUNTIF($F$43:$F$15137,"Father"),COUNTIF($F$43:$F$15137,"Mother"))</f>
        <v>0</v>
      </c>
      <c r="D30" s="34" t="s">
        <v>276</v>
      </c>
      <c r="E30" s="34" t="s">
        <v>275</v>
      </c>
      <c r="F30" s="27" t="s">
        <v>7</v>
      </c>
      <c r="G30" s="33">
        <v>45485</v>
      </c>
      <c r="H30" s="26" t="s">
        <v>83</v>
      </c>
      <c r="M30" s="7"/>
    </row>
    <row r="31" spans="2:13">
      <c r="B31" s="84"/>
      <c r="D31" s="34" t="s">
        <v>274</v>
      </c>
      <c r="E31" s="34" t="s">
        <v>273</v>
      </c>
      <c r="F31" s="27" t="s">
        <v>7</v>
      </c>
      <c r="G31" s="33">
        <v>45486</v>
      </c>
      <c r="H31" s="26" t="s">
        <v>83</v>
      </c>
      <c r="M31" s="7"/>
    </row>
    <row r="32" spans="2:13">
      <c r="B32" s="2"/>
      <c r="D32" s="34" t="s">
        <v>272</v>
      </c>
      <c r="E32" s="34" t="s">
        <v>271</v>
      </c>
      <c r="F32" s="27" t="s">
        <v>7</v>
      </c>
      <c r="G32" s="33" t="s">
        <v>270</v>
      </c>
      <c r="H32" s="26" t="s">
        <v>83</v>
      </c>
      <c r="M32" s="7"/>
    </row>
    <row r="33" spans="2:13">
      <c r="B33" s="85" t="s">
        <v>40</v>
      </c>
      <c r="D33" s="32" t="s">
        <v>269</v>
      </c>
      <c r="E33" s="32" t="s">
        <v>268</v>
      </c>
      <c r="F33" s="27" t="s">
        <v>7</v>
      </c>
      <c r="G33" s="33" t="s">
        <v>267</v>
      </c>
      <c r="H33" s="26" t="s">
        <v>83</v>
      </c>
      <c r="M33" s="7"/>
    </row>
    <row r="34" spans="2:13" ht="15" thickBot="1">
      <c r="B34" s="86"/>
      <c r="D34" s="32" t="s">
        <v>266</v>
      </c>
      <c r="E34" s="32" t="s">
        <v>265</v>
      </c>
      <c r="F34" s="27" t="s">
        <v>7</v>
      </c>
      <c r="G34" s="33" t="s">
        <v>264</v>
      </c>
      <c r="H34" s="26" t="s">
        <v>83</v>
      </c>
      <c r="M34" s="7"/>
    </row>
    <row r="35" spans="2:13">
      <c r="B35" s="84">
        <f>SUM(COUNTIF($F$43:$F$15137,"Parent-In-Law"),COUNTIF($F$43:$F$15137,"Parent In Law"),COUNTIF($F$43:$F$15137,"Father-In-Law"),COUNTIF($F$43:$F$15137,"Father In Law"),COUNTIF($F$43:$F$15137,"Mother-In-Law"),COUNTIF($F$43:$F$15137,"Mother In Law"),COUNTIF($F$43:$F$15137,"Parent_In_Law"),COUNTIF($F$43:$F$15137,"Father_In_Law"),COUNTIF($F$43:$F$15137,"Mother_In_Law"))</f>
        <v>0</v>
      </c>
      <c r="D35" s="32" t="s">
        <v>263</v>
      </c>
      <c r="E35" s="32" t="s">
        <v>262</v>
      </c>
      <c r="F35" s="27" t="s">
        <v>7</v>
      </c>
      <c r="G35" s="33" t="s">
        <v>261</v>
      </c>
      <c r="H35" s="26" t="s">
        <v>83</v>
      </c>
      <c r="M35" s="7"/>
    </row>
    <row r="36" spans="2:13">
      <c r="B36" s="84"/>
      <c r="D36" s="32" t="s">
        <v>260</v>
      </c>
      <c r="E36" s="32" t="s">
        <v>259</v>
      </c>
      <c r="F36" s="27" t="s">
        <v>7</v>
      </c>
      <c r="G36" s="31" t="s">
        <v>258</v>
      </c>
      <c r="H36" s="26" t="s">
        <v>83</v>
      </c>
      <c r="M36" s="7"/>
    </row>
    <row r="37" spans="2:13">
      <c r="B37" s="8"/>
      <c r="D37" s="29" t="s">
        <v>257</v>
      </c>
      <c r="E37" s="29" t="s">
        <v>256</v>
      </c>
      <c r="F37" s="27" t="s">
        <v>7</v>
      </c>
      <c r="G37" s="28">
        <v>45479</v>
      </c>
      <c r="H37" s="26" t="s">
        <v>83</v>
      </c>
      <c r="M37" s="7"/>
    </row>
    <row r="38" spans="2:13">
      <c r="D38" s="29" t="s">
        <v>255</v>
      </c>
      <c r="E38" s="30" t="s">
        <v>254</v>
      </c>
      <c r="F38" s="27" t="s">
        <v>7</v>
      </c>
      <c r="G38" s="28">
        <v>45477</v>
      </c>
      <c r="H38" s="26" t="s">
        <v>83</v>
      </c>
    </row>
    <row r="39" spans="2:13">
      <c r="D39" s="29" t="s">
        <v>253</v>
      </c>
      <c r="E39" s="29" t="s">
        <v>252</v>
      </c>
      <c r="F39" s="27" t="s">
        <v>7</v>
      </c>
      <c r="G39" s="28">
        <v>45486</v>
      </c>
      <c r="H39" s="26" t="s">
        <v>83</v>
      </c>
    </row>
    <row r="40" spans="2:13">
      <c r="D40" s="29" t="s">
        <v>251</v>
      </c>
      <c r="E40" s="29" t="s">
        <v>250</v>
      </c>
      <c r="F40" s="27" t="s">
        <v>7</v>
      </c>
      <c r="G40" s="28">
        <v>45497</v>
      </c>
      <c r="H40" s="26" t="s">
        <v>83</v>
      </c>
    </row>
    <row r="41" spans="2:13">
      <c r="D41" s="15" t="s">
        <v>249</v>
      </c>
      <c r="E41" s="15" t="s">
        <v>248</v>
      </c>
      <c r="F41" s="27" t="s">
        <v>7</v>
      </c>
      <c r="G41" s="23">
        <v>45465</v>
      </c>
      <c r="H41" s="26" t="s">
        <v>83</v>
      </c>
    </row>
    <row r="42" spans="2:13">
      <c r="D42" s="15" t="s">
        <v>247</v>
      </c>
      <c r="E42" s="26" t="s">
        <v>246</v>
      </c>
      <c r="F42" s="27" t="s">
        <v>7</v>
      </c>
      <c r="G42" s="23">
        <v>45473</v>
      </c>
      <c r="H42" s="26" t="s">
        <v>83</v>
      </c>
    </row>
    <row r="43" spans="2:13">
      <c r="G43" s="18"/>
    </row>
    <row r="44" spans="2:13">
      <c r="G44" s="18"/>
    </row>
    <row r="45" spans="2:13">
      <c r="G45" s="18"/>
    </row>
  </sheetData>
  <mergeCells count="14">
    <mergeCell ref="B15:B16"/>
    <mergeCell ref="D1:L1"/>
    <mergeCell ref="D2:L8"/>
    <mergeCell ref="B9:B10"/>
    <mergeCell ref="B11:B12"/>
    <mergeCell ref="B13:B14"/>
    <mergeCell ref="B33:B34"/>
    <mergeCell ref="B35:B36"/>
    <mergeCell ref="B18:B19"/>
    <mergeCell ref="B20:B21"/>
    <mergeCell ref="B23:B24"/>
    <mergeCell ref="B25:B26"/>
    <mergeCell ref="B28:B29"/>
    <mergeCell ref="B30:B31"/>
  </mergeCells>
  <conditionalFormatting sqref="G9">
    <cfRule type="expression" dxfId="38" priority="2" stopIfTrue="1">
      <formula>IF(AND(LOWER(D9)="son",LOWER(G9)="female"),TRUE,FALSE)</formula>
    </cfRule>
    <cfRule type="expression" dxfId="37" priority="3" stopIfTrue="1">
      <formula>IF(AND(LOWER(D9)="daughter",LOWER(G9)="male"),TRUE,FALSE)</formula>
    </cfRule>
    <cfRule type="expression" dxfId="36" priority="4" stopIfTrue="1">
      <formula>IF(AND(LOWER(D9)="husband",LOWER(G9)="female"),TRUE,FALSE)</formula>
    </cfRule>
    <cfRule type="expression" dxfId="35" priority="5" stopIfTrue="1">
      <formula>IF(AND(LOWER(D9)="wife",LOWER(G9)="male"),TRUE,FALSE)</formula>
    </cfRule>
    <cfRule type="expression" dxfId="34" priority="6" stopIfTrue="1">
      <formula>IF(AND(LOWER(D9)="father",LOWER(G9)="female"),TRUE,FALSE)</formula>
    </cfRule>
    <cfRule type="expression" dxfId="33" priority="7" stopIfTrue="1">
      <formula>IF(AND(LOWER(D9)="mother",LOWER(G9)="male"),TRUE,FALSE)</formula>
    </cfRule>
  </conditionalFormatting>
  <conditionalFormatting sqref="M529:AGO532">
    <cfRule type="expression" dxfId="32" priority="10" stopIfTrue="1">
      <formula>COUNTIF(V523:V529,V529)&gt;1</formula>
    </cfRule>
  </conditionalFormatting>
  <conditionalFormatting sqref="M44:AGH528">
    <cfRule type="expression" dxfId="31" priority="11" stopIfTrue="1">
      <formula>COUNTIF(W38:W44,V44)&gt;1</formula>
    </cfRule>
  </conditionalFormatting>
  <conditionalFormatting sqref="M27:AFY28 M10:AFY11 M19:AFY25 M12:T12 V12:AFY12 M30:AFY37">
    <cfRule type="expression" dxfId="30" priority="12" stopIfTrue="1">
      <formula>COUNTIF(X4:X10,V10)&gt;1</formula>
    </cfRule>
  </conditionalFormatting>
  <conditionalFormatting sqref="M26:AFW26 M29:P29 R29:AFW29">
    <cfRule type="expression" dxfId="29" priority="19" stopIfTrue="1">
      <formula>COUNTIF(Z20:Z26,V26)&gt;1</formula>
    </cfRule>
  </conditionalFormatting>
  <conditionalFormatting sqref="H9">
    <cfRule type="expression" dxfId="28" priority="20" stopIfTrue="1">
      <formula>IF(H9&lt;MEDIAN(H3:H9)*0.1,TRUE,FALSE)</formula>
    </cfRule>
  </conditionalFormatting>
  <conditionalFormatting sqref="Q29">
    <cfRule type="expression" dxfId="27" priority="1" stopIfTrue="1">
      <formula>COUNTIF(AB23:AB29,Z29)&gt;1</formula>
    </cfRule>
  </conditionalFormatting>
  <conditionalFormatting sqref="M13:AFY18">
    <cfRule type="expression" dxfId="26" priority="649" stopIfTrue="1">
      <formula>COUNTIF(X8:X13,V13)&gt;1</formula>
    </cfRule>
  </conditionalFormatting>
  <conditionalFormatting sqref="M38:AGH41">
    <cfRule type="expression" dxfId="25" priority="685" stopIfTrue="1">
      <formula>COUNTIF(W38:W38,V38)&gt;1</formula>
    </cfRule>
  </conditionalFormatting>
  <conditionalFormatting sqref="M42:AGH43">
    <cfRule type="expression" dxfId="24" priority="719" stopIfTrue="1">
      <formula>COUNTIF(W38:W42,V42)&gt;1</formula>
    </cfRule>
  </conditionalFormatting>
  <conditionalFormatting sqref="D9:E9">
    <cfRule type="expression" dxfId="23" priority="723" stopIfTrue="1">
      <formula>IF(INDEX($F9:$F15145,MATCH(1,($A9:$A15141=$A9)*($D9:$D15145="Parent"),0))&lt;INDEX($F9:$F15145,MATCH(1,($A9:$A15141=$A9)*($D9:$D15145="Self"),0)),TRUE,FALSE)</formula>
    </cfRule>
    <cfRule type="expression" dxfId="22" priority="724" stopIfTrue="1">
      <formula>IF(INDEX($F9:$F15145,MATCH(1,($A9:$A15141=$A9)*($D9:$D15145="Father"),0))&lt;INDEX($F9:$F15145,MATCH(1,($A9:$A15141=$A9)*($D9:$D15145="Self"),0)),TRUE,FALSE)</formula>
    </cfRule>
    <cfRule type="expression" dxfId="21" priority="725" stopIfTrue="1">
      <formula>IF(INDEX($F9:$F15145,MATCH(1,($A9:$A15141=$A9)*($D9:$D15145="Mother"),0))&lt;INDEX($F9:$F15145,MATCH(1,($A9:$A15141=$A9)*($D9:$D15145="Self"),0)),TRUE,FALSE)</formula>
    </cfRule>
    <cfRule type="expression" dxfId="20" priority="726" stopIfTrue="1">
      <formula>IF(INDEX($F9:$F15145,MATCH(1,($A9:$A15141=$A9)*($D9:$D15145="Child"),0))&gt;INDEX($F9:$F15145,MATCH(1,($A9:$A15141=$A9)*($D9:$D15145="Self"),0)),TRUE,FALSE)</formula>
    </cfRule>
    <cfRule type="expression" dxfId="19" priority="727" stopIfTrue="1">
      <formula>IF(INDEX($F9:$F15145,MATCH(1,($A9:$A15141=$A9)*($D9:$D15145="Son"),0))&gt;INDEX($F9:$F15145,MATCH(1,($A9:$A15141=$A9)*($D9:$D15145="Self"),0)),TRUE,FALSE)</formula>
    </cfRule>
    <cfRule type="expression" dxfId="18" priority="728" stopIfTrue="1">
      <formula>IF(INDEX($F9:$F15145,MATCH(1,($A9:$A15141=$A9)*($D9:$D15145="Daughter"),0))&gt;INDEX($F9:$F15145,MATCH(1,($A9:$A15141=$A9)*($D9:$D15145="Self"),0)),TRUE,FALSE)</formula>
    </cfRule>
  </conditionalFormatting>
  <dataValidations disablePrompts="1" count="1">
    <dataValidation type="list" allowBlank="1" showInputMessage="1" showErrorMessage="1" sqref="O1">
      <formula1>$D$20:$D$37</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O154"/>
  <sheetViews>
    <sheetView showGridLines="0" zoomScale="80" zoomScaleNormal="80" workbookViewId="0">
      <selection activeCell="J9" sqref="J9"/>
    </sheetView>
  </sheetViews>
  <sheetFormatPr defaultColWidth="8.81640625" defaultRowHeight="14.5"/>
  <cols>
    <col min="1" max="1" width="3.7265625" customWidth="1"/>
    <col min="2" max="2" width="27.453125" customWidth="1"/>
    <col min="3" max="3" width="3.7265625" customWidth="1"/>
    <col min="4" max="4" width="13.26953125" customWidth="1"/>
    <col min="5" max="5" width="35.453125" bestFit="1" customWidth="1"/>
    <col min="6" max="6" width="11.453125" customWidth="1"/>
    <col min="7" max="7" width="18.7265625" customWidth="1"/>
    <col min="8" max="8" width="19.26953125" customWidth="1"/>
    <col min="9" max="9" width="22.81640625" customWidth="1"/>
    <col min="10" max="10" width="17.26953125" customWidth="1"/>
    <col min="11" max="11" width="38.453125" bestFit="1" customWidth="1"/>
    <col min="12" max="12" width="19" customWidth="1"/>
    <col min="13" max="13" width="17.81640625" customWidth="1"/>
    <col min="14" max="14" width="10.453125" customWidth="1"/>
    <col min="17" max="17" width="17.453125" customWidth="1"/>
    <col min="18" max="18" width="18.81640625" bestFit="1" customWidth="1"/>
    <col min="19" max="19" width="11.81640625" customWidth="1"/>
  </cols>
  <sheetData>
    <row r="1" spans="2:15" ht="23.25" customHeight="1">
      <c r="C1" s="9"/>
      <c r="D1" s="83" t="s">
        <v>41</v>
      </c>
      <c r="E1" s="83"/>
      <c r="F1" s="83"/>
      <c r="G1" s="83"/>
      <c r="H1" s="83"/>
      <c r="I1" s="83"/>
      <c r="J1" s="83"/>
      <c r="K1" s="83"/>
      <c r="L1" s="83"/>
    </row>
    <row r="2" spans="2:15" ht="23.25" customHeight="1">
      <c r="D2" s="87" t="s">
        <v>51</v>
      </c>
      <c r="E2" s="88"/>
      <c r="F2" s="88"/>
      <c r="G2" s="88"/>
      <c r="H2" s="88"/>
      <c r="I2" s="88"/>
      <c r="J2" s="88"/>
      <c r="K2" s="88"/>
      <c r="L2" s="88"/>
      <c r="O2" s="3"/>
    </row>
    <row r="3" spans="2:15" ht="23.25" customHeight="1">
      <c r="D3" s="88"/>
      <c r="E3" s="88"/>
      <c r="F3" s="88"/>
      <c r="G3" s="88"/>
      <c r="H3" s="88"/>
      <c r="I3" s="88"/>
      <c r="J3" s="88"/>
      <c r="K3" s="88"/>
      <c r="L3" s="88"/>
      <c r="O3" s="3"/>
    </row>
    <row r="4" spans="2:15" ht="23.25" customHeight="1">
      <c r="D4" s="88"/>
      <c r="E4" s="88"/>
      <c r="F4" s="88"/>
      <c r="G4" s="88"/>
      <c r="H4" s="88"/>
      <c r="I4" s="88"/>
      <c r="J4" s="88"/>
      <c r="K4" s="88"/>
      <c r="L4" s="88"/>
    </row>
    <row r="5" spans="2:15" ht="23.25" customHeight="1">
      <c r="D5" s="88"/>
      <c r="E5" s="88"/>
      <c r="F5" s="88"/>
      <c r="G5" s="88"/>
      <c r="H5" s="88"/>
      <c r="I5" s="88"/>
      <c r="J5" s="88"/>
      <c r="K5" s="88"/>
      <c r="L5" s="88"/>
    </row>
    <row r="6" spans="2:15" ht="23.25" customHeight="1">
      <c r="D6" s="88"/>
      <c r="E6" s="88"/>
      <c r="F6" s="88"/>
      <c r="G6" s="88"/>
      <c r="H6" s="88"/>
      <c r="I6" s="88"/>
      <c r="J6" s="88"/>
      <c r="K6" s="88"/>
      <c r="L6" s="88"/>
    </row>
    <row r="7" spans="2:15" ht="23.25" customHeight="1">
      <c r="D7" s="88"/>
      <c r="E7" s="88"/>
      <c r="F7" s="88"/>
      <c r="G7" s="88"/>
      <c r="H7" s="88"/>
      <c r="I7" s="88"/>
      <c r="J7" s="88"/>
      <c r="K7" s="88"/>
      <c r="L7" s="88"/>
    </row>
    <row r="8" spans="2:15" ht="23.25" customHeight="1">
      <c r="D8" s="88"/>
      <c r="E8" s="88"/>
      <c r="F8" s="88"/>
      <c r="G8" s="88"/>
      <c r="H8" s="88"/>
      <c r="I8" s="88"/>
      <c r="J8" s="88"/>
      <c r="K8" s="88"/>
      <c r="L8" s="88"/>
    </row>
    <row r="9" spans="2:15" ht="16.5">
      <c r="B9" s="85" t="s">
        <v>42</v>
      </c>
      <c r="D9" s="10" t="s">
        <v>0</v>
      </c>
      <c r="E9" s="10" t="s">
        <v>1</v>
      </c>
      <c r="F9" s="10" t="s">
        <v>2</v>
      </c>
      <c r="G9" s="10" t="s">
        <v>48</v>
      </c>
      <c r="H9" s="10" t="s">
        <v>49</v>
      </c>
      <c r="I9" s="10" t="s">
        <v>47</v>
      </c>
      <c r="N9" s="1"/>
    </row>
    <row r="10" spans="2:15" ht="15" customHeight="1" thickBot="1">
      <c r="B10" s="86"/>
      <c r="D10" t="s">
        <v>316</v>
      </c>
      <c r="E10" t="s">
        <v>315</v>
      </c>
      <c r="F10" t="s">
        <v>7</v>
      </c>
      <c r="G10" t="s">
        <v>314</v>
      </c>
      <c r="M10" s="7"/>
    </row>
    <row r="11" spans="2:15" ht="14.5" customHeight="1">
      <c r="B11" s="84">
        <f>COUNTA(F10:F1048576)</f>
        <v>1</v>
      </c>
      <c r="M11" s="7"/>
    </row>
    <row r="12" spans="2:15">
      <c r="B12" s="84"/>
      <c r="M12" s="7"/>
    </row>
    <row r="13" spans="2:15">
      <c r="B13" s="8"/>
      <c r="M13" s="7"/>
    </row>
    <row r="14" spans="2:15">
      <c r="B14" s="85" t="s">
        <v>15</v>
      </c>
      <c r="C14" s="2"/>
      <c r="M14" s="7"/>
    </row>
    <row r="15" spans="2:15" ht="15" thickBot="1">
      <c r="B15" s="86"/>
      <c r="C15" s="2"/>
      <c r="M15" s="7"/>
    </row>
    <row r="16" spans="2:15">
      <c r="B16" s="84">
        <f>SUM(COUNTIF($F$10:$F$15483,"Self"),COUNTIF($F$10:$F$15484,"Employee"),COUNTIF($F$10:$F$15484,"Emp"))</f>
        <v>1</v>
      </c>
      <c r="C16" s="5"/>
      <c r="M16" s="7"/>
    </row>
    <row r="17" spans="2:13">
      <c r="B17" s="84"/>
      <c r="C17" s="2"/>
      <c r="M17" s="7"/>
    </row>
    <row r="18" spans="2:13">
      <c r="B18" s="2"/>
      <c r="C18" s="2"/>
      <c r="M18" s="7"/>
    </row>
    <row r="19" spans="2:13">
      <c r="B19" s="85" t="s">
        <v>10</v>
      </c>
      <c r="C19" s="4"/>
      <c r="M19" s="7"/>
    </row>
    <row r="20" spans="2:13" ht="15" thickBot="1">
      <c r="B20" s="86"/>
      <c r="C20" s="2"/>
      <c r="M20" s="7"/>
    </row>
    <row r="21" spans="2:13">
      <c r="B21" s="84">
        <f>SUM(COUNTIF($F$10:$F$15484,"Spouse"),COUNTIF($F$10:$F$15484,"Wife"),COUNTIF($F$10:$F$15484,"Husband"))</f>
        <v>0</v>
      </c>
      <c r="C21" s="7"/>
      <c r="M21" s="7"/>
    </row>
    <row r="22" spans="2:13">
      <c r="B22" s="84"/>
      <c r="C22" s="2"/>
      <c r="M22" s="7"/>
    </row>
    <row r="23" spans="2:13">
      <c r="B23" s="2"/>
      <c r="C23" s="2"/>
      <c r="M23" s="7"/>
    </row>
    <row r="24" spans="2:13">
      <c r="B24" s="85" t="s">
        <v>38</v>
      </c>
      <c r="C24" s="2"/>
      <c r="M24" s="7"/>
    </row>
    <row r="25" spans="2:13" ht="15" thickBot="1">
      <c r="B25" s="86"/>
      <c r="C25" s="5"/>
      <c r="M25" s="7"/>
    </row>
    <row r="26" spans="2:13">
      <c r="B26" s="84">
        <f>SUM(COUNTIF($F$10:$F$15484,"Children"),COUNTIF($F$10:$F$15484,"Child"),COUNTIF($F$10:$F$15484,"Son"),COUNTIF($F$10:$F$15484,"Daughter"))</f>
        <v>0</v>
      </c>
      <c r="C26" s="2"/>
      <c r="M26" s="7"/>
    </row>
    <row r="27" spans="2:13">
      <c r="B27" s="84"/>
      <c r="C27" s="6"/>
      <c r="M27" s="7"/>
    </row>
    <row r="28" spans="2:13">
      <c r="B28" s="2"/>
      <c r="C28" s="4"/>
      <c r="M28" s="7"/>
    </row>
    <row r="29" spans="2:13">
      <c r="B29" s="85" t="s">
        <v>39</v>
      </c>
      <c r="C29" s="2"/>
      <c r="M29" s="7"/>
    </row>
    <row r="30" spans="2:13" ht="15" thickBot="1">
      <c r="B30" s="86"/>
      <c r="C30" s="2"/>
      <c r="M30" s="7"/>
    </row>
    <row r="31" spans="2:13">
      <c r="B31" s="84">
        <f>SUM(COUNTIF($F$10:$F$15484,"Parent"),COUNTIF($F$10:$F$15484,"Father"),COUNTIF($F$10:$F$15484,"Mother"))</f>
        <v>0</v>
      </c>
      <c r="M31" s="7"/>
    </row>
    <row r="32" spans="2:13">
      <c r="B32" s="84"/>
      <c r="M32" s="7"/>
    </row>
    <row r="33" spans="2:13">
      <c r="B33" s="2"/>
      <c r="M33" s="7"/>
    </row>
    <row r="34" spans="2:13">
      <c r="B34" s="85" t="s">
        <v>40</v>
      </c>
      <c r="M34" s="7"/>
    </row>
    <row r="35" spans="2:13" ht="15" thickBot="1">
      <c r="B35" s="86"/>
      <c r="M35" s="7"/>
    </row>
    <row r="36" spans="2:13">
      <c r="B36" s="84">
        <f>SUM(COUNTIF($F$10:$F$15484,"Parent-In-Law"),COUNTIF($F$10:$F$15484,"Parent In Law"),COUNTIF($F$10:$F$15484,"Father-In-Law"),COUNTIF($F$10:$F$15484,"Father In Law"),COUNTIF($F$10:$F$15484,"Mother-In-Law"),COUNTIF($F$10:$F$15484,"Mother In Law"),COUNTIF($F$10:$F$15484,"Parent_In_Law"),COUNTIF($F$10:$F$15484,"Father_In_Law"),COUNTIF($F$10:$F$15484,"Mother_In_Law"))</f>
        <v>0</v>
      </c>
      <c r="M36" s="7"/>
    </row>
    <row r="37" spans="2:13">
      <c r="B37" s="84"/>
      <c r="M37" s="7"/>
    </row>
    <row r="38" spans="2:13">
      <c r="B38" s="8"/>
      <c r="M38" s="7"/>
    </row>
    <row r="39" spans="2:13">
      <c r="B39" s="8"/>
      <c r="M39" s="7"/>
    </row>
    <row r="40" spans="2:13">
      <c r="B40" s="8"/>
      <c r="M40" s="7"/>
    </row>
    <row r="41" spans="2:13">
      <c r="B41" s="8"/>
      <c r="M41" s="7"/>
    </row>
    <row r="42" spans="2:13">
      <c r="B42" s="8"/>
      <c r="M42" s="7"/>
    </row>
    <row r="43" spans="2:13">
      <c r="B43" s="8"/>
      <c r="M43" s="7"/>
    </row>
    <row r="44" spans="2:13">
      <c r="B44" s="8"/>
      <c r="M44" s="7"/>
    </row>
    <row r="45" spans="2:13">
      <c r="B45" s="8"/>
      <c r="M45" s="7"/>
    </row>
    <row r="46" spans="2:13">
      <c r="B46" s="8"/>
      <c r="M46" s="7"/>
    </row>
    <row r="47" spans="2:13">
      <c r="B47" s="8"/>
      <c r="M47" s="7"/>
    </row>
    <row r="48" spans="2:13">
      <c r="B48" s="8"/>
      <c r="M48" s="7"/>
    </row>
    <row r="49" spans="2:13">
      <c r="B49" s="8"/>
      <c r="M49" s="7"/>
    </row>
    <row r="50" spans="2:13">
      <c r="M50" s="7"/>
    </row>
    <row r="51" spans="2:13">
      <c r="M51" s="7"/>
    </row>
    <row r="52" spans="2:13">
      <c r="M52" s="7"/>
    </row>
    <row r="53" spans="2:13">
      <c r="M53" s="7"/>
    </row>
    <row r="54" spans="2:13">
      <c r="M54" s="7"/>
    </row>
    <row r="55" spans="2:13">
      <c r="M55" s="7"/>
    </row>
    <row r="56" spans="2:13">
      <c r="M56" s="7"/>
    </row>
    <row r="57" spans="2:13">
      <c r="M57" s="7"/>
    </row>
    <row r="58" spans="2:13">
      <c r="M58" s="7"/>
    </row>
    <row r="59" spans="2:13">
      <c r="M59" s="7"/>
    </row>
    <row r="60" spans="2:13">
      <c r="M60" s="7"/>
    </row>
    <row r="61" spans="2:13">
      <c r="M61" s="7"/>
    </row>
    <row r="62" spans="2:13">
      <c r="M62" s="7"/>
    </row>
    <row r="63" spans="2:13">
      <c r="M63" s="7"/>
    </row>
    <row r="64" spans="2:13">
      <c r="M64" s="7"/>
    </row>
    <row r="65" spans="13:13">
      <c r="M65" s="7"/>
    </row>
    <row r="66" spans="13:13">
      <c r="M66" s="7"/>
    </row>
    <row r="67" spans="13:13">
      <c r="M67" s="7"/>
    </row>
    <row r="68" spans="13:13">
      <c r="M68" s="7"/>
    </row>
    <row r="69" spans="13:13">
      <c r="M69" s="7"/>
    </row>
    <row r="70" spans="13:13">
      <c r="M70" s="7"/>
    </row>
    <row r="71" spans="13:13">
      <c r="M71" s="7"/>
    </row>
    <row r="72" spans="13:13">
      <c r="M72" s="7"/>
    </row>
    <row r="73" spans="13:13">
      <c r="M73" s="7"/>
    </row>
    <row r="74" spans="13:13">
      <c r="M74" s="7"/>
    </row>
    <row r="75" spans="13:13">
      <c r="M75" s="7"/>
    </row>
    <row r="76" spans="13:13">
      <c r="M76" s="7"/>
    </row>
    <row r="77" spans="13:13">
      <c r="M77" s="7"/>
    </row>
    <row r="78" spans="13:13">
      <c r="M78" s="7"/>
    </row>
    <row r="79" spans="13:13">
      <c r="M79" s="7"/>
    </row>
    <row r="80" spans="13:13">
      <c r="M80" s="7"/>
    </row>
    <row r="81" spans="13:13">
      <c r="M81" s="7"/>
    </row>
    <row r="82" spans="13:13">
      <c r="M82" s="7"/>
    </row>
    <row r="83" spans="13:13">
      <c r="M83" s="7"/>
    </row>
    <row r="84" spans="13:13">
      <c r="M84" s="7"/>
    </row>
    <row r="85" spans="13:13">
      <c r="M85" s="7"/>
    </row>
    <row r="86" spans="13:13">
      <c r="M86" s="7"/>
    </row>
    <row r="87" spans="13:13">
      <c r="M87" s="7"/>
    </row>
    <row r="88" spans="13:13">
      <c r="M88" s="7"/>
    </row>
    <row r="89" spans="13:13">
      <c r="M89" s="7"/>
    </row>
    <row r="90" spans="13:13">
      <c r="M90" s="7"/>
    </row>
    <row r="91" spans="13:13">
      <c r="M91" s="7"/>
    </row>
    <row r="92" spans="13:13">
      <c r="M92" s="7"/>
    </row>
    <row r="93" spans="13:13">
      <c r="M93" s="7"/>
    </row>
    <row r="94" spans="13:13">
      <c r="M94" s="7"/>
    </row>
    <row r="95" spans="13:13">
      <c r="M95" s="7"/>
    </row>
    <row r="96" spans="13:13">
      <c r="M96" s="7"/>
    </row>
    <row r="97" spans="13:13">
      <c r="M97" s="7"/>
    </row>
    <row r="98" spans="13:13">
      <c r="M98" s="7"/>
    </row>
    <row r="99" spans="13:13">
      <c r="M99" s="7"/>
    </row>
    <row r="100" spans="13:13">
      <c r="M100" s="7"/>
    </row>
    <row r="101" spans="13:13">
      <c r="M101" s="7"/>
    </row>
    <row r="102" spans="13:13">
      <c r="M102" s="7"/>
    </row>
    <row r="103" spans="13:13">
      <c r="M103" s="7"/>
    </row>
    <row r="104" spans="13:13">
      <c r="M104" s="7"/>
    </row>
    <row r="105" spans="13:13">
      <c r="M105" s="7"/>
    </row>
    <row r="106" spans="13:13">
      <c r="M106" s="7"/>
    </row>
    <row r="107" spans="13:13">
      <c r="M107" s="7"/>
    </row>
    <row r="108" spans="13:13">
      <c r="M108" s="7"/>
    </row>
    <row r="109" spans="13:13">
      <c r="M109" s="7"/>
    </row>
    <row r="110" spans="13:13">
      <c r="M110" s="7"/>
    </row>
    <row r="111" spans="13:13">
      <c r="M111" s="7"/>
    </row>
    <row r="112" spans="13:13">
      <c r="M112" s="7"/>
    </row>
    <row r="113" spans="13:13">
      <c r="M113" s="7"/>
    </row>
    <row r="114" spans="13:13">
      <c r="M114" s="7"/>
    </row>
    <row r="115" spans="13:13">
      <c r="M115" s="7"/>
    </row>
    <row r="116" spans="13:13">
      <c r="M116" s="7"/>
    </row>
    <row r="117" spans="13:13">
      <c r="M117" s="7"/>
    </row>
    <row r="118" spans="13:13">
      <c r="M118" s="7"/>
    </row>
    <row r="119" spans="13:13">
      <c r="M119" s="7"/>
    </row>
    <row r="120" spans="13:13">
      <c r="M120" s="7"/>
    </row>
    <row r="121" spans="13:13">
      <c r="M121" s="7"/>
    </row>
    <row r="122" spans="13:13">
      <c r="M122" s="7"/>
    </row>
    <row r="123" spans="13:13">
      <c r="M123" s="7"/>
    </row>
    <row r="124" spans="13:13">
      <c r="M124" s="7"/>
    </row>
    <row r="125" spans="13:13">
      <c r="M125" s="7"/>
    </row>
    <row r="126" spans="13:13">
      <c r="M126" s="7"/>
    </row>
    <row r="127" spans="13:13">
      <c r="M127" s="7"/>
    </row>
    <row r="128" spans="13:13">
      <c r="M128" s="7"/>
    </row>
    <row r="129" spans="13:13">
      <c r="M129" s="7"/>
    </row>
    <row r="130" spans="13:13">
      <c r="M130" s="7"/>
    </row>
    <row r="131" spans="13:13">
      <c r="M131" s="7"/>
    </row>
    <row r="132" spans="13:13">
      <c r="M132" s="7"/>
    </row>
    <row r="133" spans="13:13">
      <c r="M133" s="7"/>
    </row>
    <row r="134" spans="13:13">
      <c r="M134" s="7"/>
    </row>
    <row r="135" spans="13:13">
      <c r="M135" s="7"/>
    </row>
    <row r="136" spans="13:13">
      <c r="M136" s="7"/>
    </row>
    <row r="137" spans="13:13">
      <c r="M137" s="7"/>
    </row>
    <row r="138" spans="13:13">
      <c r="M138" s="7"/>
    </row>
    <row r="139" spans="13:13">
      <c r="M139" s="7"/>
    </row>
    <row r="140" spans="13:13">
      <c r="M140" s="7"/>
    </row>
    <row r="141" spans="13:13">
      <c r="M141" s="7"/>
    </row>
    <row r="142" spans="13:13">
      <c r="M142" s="7"/>
    </row>
    <row r="143" spans="13:13">
      <c r="M143" s="7"/>
    </row>
    <row r="144" spans="13:13">
      <c r="M144" s="7"/>
    </row>
    <row r="145" spans="13:13">
      <c r="M145" s="7"/>
    </row>
    <row r="146" spans="13:13">
      <c r="M146" s="7"/>
    </row>
    <row r="147" spans="13:13">
      <c r="M147" s="7"/>
    </row>
    <row r="148" spans="13:13">
      <c r="M148" s="7"/>
    </row>
    <row r="149" spans="13:13">
      <c r="M149" s="7"/>
    </row>
    <row r="150" spans="13:13">
      <c r="M150" s="7"/>
    </row>
    <row r="151" spans="13:13">
      <c r="M151" s="7"/>
    </row>
    <row r="152" spans="13:13">
      <c r="M152" s="7"/>
    </row>
    <row r="153" spans="13:13">
      <c r="M153" s="7"/>
    </row>
    <row r="154" spans="13:13">
      <c r="M154" s="7"/>
    </row>
  </sheetData>
  <mergeCells count="14">
    <mergeCell ref="B16:B17"/>
    <mergeCell ref="D1:L1"/>
    <mergeCell ref="D2:L8"/>
    <mergeCell ref="B9:B10"/>
    <mergeCell ref="B11:B12"/>
    <mergeCell ref="B14:B15"/>
    <mergeCell ref="B34:B35"/>
    <mergeCell ref="B36:B37"/>
    <mergeCell ref="B19:B20"/>
    <mergeCell ref="B21:B22"/>
    <mergeCell ref="B24:B25"/>
    <mergeCell ref="B26:B27"/>
    <mergeCell ref="B29:B30"/>
    <mergeCell ref="B31:B32"/>
  </mergeCells>
  <conditionalFormatting sqref="G9">
    <cfRule type="expression" dxfId="17" priority="2" stopIfTrue="1">
      <formula>IF(AND(LOWER(D9)="son",LOWER(G9)="female"),TRUE,FALSE)</formula>
    </cfRule>
    <cfRule type="expression" dxfId="16" priority="3" stopIfTrue="1">
      <formula>IF(AND(LOWER(D9)="daughter",LOWER(G9)="male"),TRUE,FALSE)</formula>
    </cfRule>
    <cfRule type="expression" dxfId="15" priority="4" stopIfTrue="1">
      <formula>IF(AND(LOWER(D9)="husband",LOWER(G9)="female"),TRUE,FALSE)</formula>
    </cfRule>
    <cfRule type="expression" dxfId="14" priority="5" stopIfTrue="1">
      <formula>IF(AND(LOWER(D9)="wife",LOWER(G9)="male"),TRUE,FALSE)</formula>
    </cfRule>
    <cfRule type="expression" dxfId="13" priority="6" stopIfTrue="1">
      <formula>IF(AND(LOWER(D9)="father",LOWER(G9)="female"),TRUE,FALSE)</formula>
    </cfRule>
    <cfRule type="expression" dxfId="12" priority="7" stopIfTrue="1">
      <formula>IF(AND(LOWER(D9)="mother",LOWER(G9)="male"),TRUE,FALSE)</formula>
    </cfRule>
  </conditionalFormatting>
  <conditionalFormatting sqref="M876:AGO879">
    <cfRule type="expression" dxfId="11" priority="10" stopIfTrue="1">
      <formula>COUNTIF(V870:V876,V876)&gt;1</formula>
    </cfRule>
  </conditionalFormatting>
  <conditionalFormatting sqref="M151:AGH875">
    <cfRule type="expression" dxfId="10" priority="11" stopIfTrue="1">
      <formula>COUNTIF(W145:W151,V151)&gt;1</formula>
    </cfRule>
  </conditionalFormatting>
  <conditionalFormatting sqref="M31:AFY150 M28:AFY29 M10:AFY11 M14:AFY26 M12:T13 V12:AFY13">
    <cfRule type="expression" dxfId="9" priority="12" stopIfTrue="1">
      <formula>COUNTIF(X4:X10,V10)&gt;1</formula>
    </cfRule>
  </conditionalFormatting>
  <conditionalFormatting sqref="D9:E9">
    <cfRule type="expression" dxfId="8" priority="13" stopIfTrue="1">
      <formula>IF(INDEX($F9:$F15492,MATCH(1,($A9:$A15488=$A9)*($D9:$D15492="Parent"),0))&lt;INDEX($F9:$F15492,MATCH(1,($A9:$A15488=$A9)*($D9:$D15492="Self"),0)),TRUE,FALSE)</formula>
    </cfRule>
    <cfRule type="expression" dxfId="7" priority="14" stopIfTrue="1">
      <formula>IF(INDEX($F9:$F15492,MATCH(1,($A9:$A15488=$A9)*($D9:$D15492="Father"),0))&lt;INDEX($F9:$F15492,MATCH(1,($A9:$A15488=$A9)*($D9:$D15492="Self"),0)),TRUE,FALSE)</formula>
    </cfRule>
    <cfRule type="expression" dxfId="6" priority="15" stopIfTrue="1">
      <formula>IF(INDEX($F9:$F15492,MATCH(1,($A9:$A15488=$A9)*($D9:$D15492="Mother"),0))&lt;INDEX($F9:$F15492,MATCH(1,($A9:$A15488=$A9)*($D9:$D15492="Self"),0)),TRUE,FALSE)</formula>
    </cfRule>
    <cfRule type="expression" dxfId="5" priority="16" stopIfTrue="1">
      <formula>IF(INDEX($F9:$F15492,MATCH(1,($A9:$A15488=$A9)*($D9:$D15492="Child"),0))&gt;INDEX($F9:$F15492,MATCH(1,($A9:$A15488=$A9)*($D9:$D15492="Self"),0)),TRUE,FALSE)</formula>
    </cfRule>
    <cfRule type="expression" dxfId="4" priority="17" stopIfTrue="1">
      <formula>IF(INDEX($F9:$F15492,MATCH(1,($A9:$A15488=$A9)*($D9:$D15492="Son"),0))&gt;INDEX($F9:$F15492,MATCH(1,($A9:$A15488=$A9)*($D9:$D15492="Self"),0)),TRUE,FALSE)</formula>
    </cfRule>
    <cfRule type="expression" dxfId="3" priority="18" stopIfTrue="1">
      <formula>IF(INDEX($F9:$F15492,MATCH(1,($A9:$A15488=$A9)*($D9:$D15492="Daughter"),0))&gt;INDEX($F9:$F15492,MATCH(1,($A9:$A15488=$A9)*($D9:$D15492="Self"),0)),TRUE,FALSE)</formula>
    </cfRule>
  </conditionalFormatting>
  <conditionalFormatting sqref="M27:AFW27 M30:P30 R30:AFW30">
    <cfRule type="expression" dxfId="2" priority="19" stopIfTrue="1">
      <formula>COUNTIF(Z21:Z27,V27)&gt;1</formula>
    </cfRule>
  </conditionalFormatting>
  <conditionalFormatting sqref="H9">
    <cfRule type="expression" dxfId="1" priority="20" stopIfTrue="1">
      <formula>IF(H9&lt;MEDIAN(H3:H9)*0.1,TRUE,FALSE)</formula>
    </cfRule>
  </conditionalFormatting>
  <conditionalFormatting sqref="Q30">
    <cfRule type="expression" dxfId="0" priority="1" stopIfTrue="1">
      <formula>COUNTIF(AB24:AB30,Z30)&gt;1</formula>
    </cfRule>
  </conditionalFormatting>
  <dataValidations count="2">
    <dataValidation type="list" allowBlank="1" showInputMessage="1" showErrorMessage="1" sqref="O1">
      <formula1>$D$10:$D$154</formula1>
    </dataValidation>
    <dataValidation type="list" allowBlank="1" showInputMessage="1" showErrorMessage="1" sqref="G12:G1048576 G10">
      <formula1>"Name Corrections, DOB Corrections, Gender Corrections, Sum Insured Corrections, Relation Corrections"</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4"/>
  <sheetViews>
    <sheetView workbookViewId="0">
      <selection activeCell="E5" sqref="E5"/>
    </sheetView>
  </sheetViews>
  <sheetFormatPr defaultColWidth="8.81640625" defaultRowHeight="14.5"/>
  <cols>
    <col min="1" max="1" width="16.7265625" customWidth="1"/>
    <col min="3" max="3" width="12.7265625" bestFit="1" customWidth="1"/>
  </cols>
  <sheetData>
    <row r="1" spans="1:4">
      <c r="A1" t="s">
        <v>2</v>
      </c>
      <c r="B1" t="s">
        <v>3</v>
      </c>
    </row>
    <row r="2" spans="1:4">
      <c r="A2" t="s">
        <v>7</v>
      </c>
      <c r="B2" t="s">
        <v>8</v>
      </c>
      <c r="C2" t="s">
        <v>25</v>
      </c>
      <c r="D2" t="s">
        <v>37</v>
      </c>
    </row>
    <row r="3" spans="1:4">
      <c r="A3" t="s">
        <v>15</v>
      </c>
      <c r="B3" t="s">
        <v>9</v>
      </c>
      <c r="C3" t="s">
        <v>26</v>
      </c>
    </row>
    <row r="4" spans="1:4">
      <c r="A4" t="s">
        <v>16</v>
      </c>
      <c r="B4" t="s">
        <v>22</v>
      </c>
      <c r="C4" t="s">
        <v>27</v>
      </c>
    </row>
    <row r="5" spans="1:4">
      <c r="A5" t="s">
        <v>17</v>
      </c>
      <c r="B5" t="s">
        <v>23</v>
      </c>
      <c r="C5" t="s">
        <v>24</v>
      </c>
    </row>
    <row r="6" spans="1:4">
      <c r="A6" t="s">
        <v>10</v>
      </c>
      <c r="C6" t="s">
        <v>28</v>
      </c>
    </row>
    <row r="7" spans="1:4">
      <c r="A7" t="s">
        <v>13</v>
      </c>
      <c r="C7" t="s">
        <v>29</v>
      </c>
    </row>
    <row r="8" spans="1:4">
      <c r="A8" t="s">
        <v>14</v>
      </c>
      <c r="C8" t="s">
        <v>30</v>
      </c>
    </row>
    <row r="9" spans="1:4">
      <c r="A9" t="s">
        <v>18</v>
      </c>
      <c r="C9" t="s">
        <v>31</v>
      </c>
    </row>
    <row r="10" spans="1:4">
      <c r="A10" t="s">
        <v>19</v>
      </c>
      <c r="C10" t="s">
        <v>32</v>
      </c>
    </row>
    <row r="11" spans="1:4">
      <c r="A11" t="s">
        <v>11</v>
      </c>
      <c r="C11" t="s">
        <v>33</v>
      </c>
    </row>
    <row r="12" spans="1:4">
      <c r="A12" t="s">
        <v>12</v>
      </c>
      <c r="C12" t="s">
        <v>34</v>
      </c>
    </row>
    <row r="13" spans="1:4">
      <c r="A13" t="s">
        <v>20</v>
      </c>
      <c r="C13" t="s">
        <v>35</v>
      </c>
    </row>
    <row r="14" spans="1:4">
      <c r="A14" t="s">
        <v>21</v>
      </c>
      <c r="C14" t="s">
        <v>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Additions</vt:lpstr>
      <vt:lpstr>Deletions</vt:lpstr>
      <vt:lpstr>Corrections</vt:lpstr>
      <vt:lpstr>DO NOT TOUCH</vt:lpstr>
      <vt:lpstr>relation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Sagar Singh</dc:creator>
  <cp:lastModifiedBy>Loop</cp:lastModifiedBy>
  <dcterms:created xsi:type="dcterms:W3CDTF">2022-09-28T11:10:54Z</dcterms:created>
  <dcterms:modified xsi:type="dcterms:W3CDTF">2024-08-19T20:37:41Z</dcterms:modified>
</cp:coreProperties>
</file>