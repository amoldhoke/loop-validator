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Users\Loop\Desktop\Process Tools\Validator Tool\Input File\Initial Process\"/>
    </mc:Choice>
  </mc:AlternateContent>
  <bookViews>
    <workbookView xWindow="0" yWindow="0" windowWidth="19160" windowHeight="6890" activeTab="1"/>
  </bookViews>
  <sheets>
    <sheet name="Additions" sheetId="1" r:id="rId1"/>
    <sheet name="Deletions" sheetId="5" r:id="rId2"/>
    <sheet name="Corrections" sheetId="6" r:id="rId3"/>
    <sheet name="DO NOT TOUCH" sheetId="2" r:id="rId4"/>
  </sheets>
  <definedNames>
    <definedName name="_xlnm._FilterDatabase" localSheetId="0" hidden="1">Additions!$D$9:$L$9</definedName>
    <definedName name="_xlnm._FilterDatabase" localSheetId="2" hidden="1">Corrections!$D$9:$L$9</definedName>
    <definedName name="_xlnm._FilterDatabase" localSheetId="1" hidden="1">Deletions!$D$9:$L$9</definedName>
    <definedName name="relation">'DO NOT TOUCH'!$A$2:$A$14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5" l="1"/>
  <c r="B36" i="6"/>
  <c r="B31" i="6"/>
  <c r="B26" i="6"/>
  <c r="B21" i="6"/>
  <c r="B16" i="6"/>
  <c r="B11" i="6"/>
  <c r="B39" i="5"/>
  <c r="B34" i="5"/>
  <c r="B29" i="5"/>
  <c r="B24" i="5"/>
  <c r="B41" i="1"/>
  <c r="B36" i="1"/>
  <c r="B31" i="1"/>
  <c r="B26" i="1"/>
  <c r="B21" i="1"/>
  <c r="B12" i="1"/>
</calcChain>
</file>

<file path=xl/sharedStrings.xml><?xml version="1.0" encoding="utf-8"?>
<sst xmlns="http://schemas.openxmlformats.org/spreadsheetml/2006/main" count="245" uniqueCount="127">
  <si>
    <t>Instruction Area:</t>
  </si>
  <si>
    <r>
      <t>How to use this sheet?</t>
    </r>
    <r>
      <rPr>
        <sz val="14"/>
        <color theme="1"/>
        <rFont val="Calibri"/>
        <family val="2"/>
        <scheme val="minor"/>
      </rPr>
      <t xml:space="preserve">
This sheet will help you validate for critical issues that lead to delays in endorsements. To use the validations first copy and paste all the endorsement data you need to share. Then click the green "Validation Checks" buttons in the Validation Check section. It will highlight the erroneous fields in yellow. Refer to this area to better understand the error and then resolve it. You will have accurate and consistent data after this. The button will change color to blue once you have clicked it indicating you have run that check. For best results, click a button and fix all the highlighted fields before moving to another check. </t>
    </r>
  </si>
  <si>
    <t>Total Live Count</t>
  </si>
  <si>
    <t>Emp No</t>
  </si>
  <si>
    <t>Name</t>
  </si>
  <si>
    <t>Relation</t>
  </si>
  <si>
    <t>Date of Birth</t>
  </si>
  <si>
    <t>Date of Coverage</t>
  </si>
  <si>
    <t>Gender</t>
  </si>
  <si>
    <t>Base Sum Insured</t>
  </si>
  <si>
    <t>Email ID</t>
  </si>
  <si>
    <t>Mobile Number</t>
  </si>
  <si>
    <t>CTC</t>
  </si>
  <si>
    <t>Employee</t>
  </si>
  <si>
    <t>Female</t>
  </si>
  <si>
    <t>E2875</t>
  </si>
  <si>
    <t>Dipti Shetty</t>
  </si>
  <si>
    <t>E2934</t>
  </si>
  <si>
    <t>Sonam Pandey</t>
  </si>
  <si>
    <t>E2983</t>
  </si>
  <si>
    <t>Aparna Nair</t>
  </si>
  <si>
    <t>Spouse</t>
  </si>
  <si>
    <t>Kids</t>
  </si>
  <si>
    <t>Parents</t>
  </si>
  <si>
    <t>Parents-In-Law</t>
  </si>
  <si>
    <t>Date of Leaving</t>
  </si>
  <si>
    <t>Reason for Deletion</t>
  </si>
  <si>
    <t>Correction Type</t>
  </si>
  <si>
    <t>Exisiting Value</t>
  </si>
  <si>
    <t>Proposed Value</t>
  </si>
  <si>
    <t>Self</t>
  </si>
  <si>
    <t>self</t>
  </si>
  <si>
    <t>{"self","employee","emp","parents","parent","father","mother","spouse","wife","husband","child","children","son","daughter","parent-in-law","father-in-law","mother-in-law"}</t>
  </si>
  <si>
    <t>Male</t>
  </si>
  <si>
    <t>employee</t>
  </si>
  <si>
    <t>Mother</t>
  </si>
  <si>
    <t>F</t>
  </si>
  <si>
    <t>mother</t>
  </si>
  <si>
    <t>Father</t>
  </si>
  <si>
    <t>M</t>
  </si>
  <si>
    <t>father</t>
  </si>
  <si>
    <t>spouse</t>
  </si>
  <si>
    <t>Wife</t>
  </si>
  <si>
    <t>wife</t>
  </si>
  <si>
    <t>Husband</t>
  </si>
  <si>
    <t>husband</t>
  </si>
  <si>
    <t>Child</t>
  </si>
  <si>
    <t>child</t>
  </si>
  <si>
    <t>Children</t>
  </si>
  <si>
    <t>children</t>
  </si>
  <si>
    <t>Son</t>
  </si>
  <si>
    <t>son</t>
  </si>
  <si>
    <t>Daughter</t>
  </si>
  <si>
    <t>daughter</t>
  </si>
  <si>
    <t>Father-in-law</t>
  </si>
  <si>
    <t>father-in-law</t>
  </si>
  <si>
    <t>Mother-in-law</t>
  </si>
  <si>
    <t>mother-in-law</t>
  </si>
  <si>
    <t>Reson</t>
  </si>
  <si>
    <t>Sum Insured Corrections</t>
  </si>
  <si>
    <t>promoted from Executive level to Manager level</t>
  </si>
  <si>
    <t xml:space="preserve">Vineet George </t>
  </si>
  <si>
    <t>2,00,000</t>
  </si>
  <si>
    <t>vineet.g@mountmerugroup.com</t>
  </si>
  <si>
    <t> +260 97 2876651</t>
  </si>
  <si>
    <t>Nitha Anna George</t>
  </si>
  <si>
    <t xml:space="preserve">Spouse </t>
  </si>
  <si>
    <t>Kommana Dali Raju</t>
  </si>
  <si>
    <t>Kommana.R@mountmerugroup.com</t>
  </si>
  <si>
    <t>NA</t>
  </si>
  <si>
    <t xml:space="preserve">Ujjwal Kumar </t>
  </si>
  <si>
    <t>Ujjwal.K@mountmerugroup.com</t>
  </si>
  <si>
    <t>+91 7838438210</t>
  </si>
  <si>
    <t>Dinesh Singh</t>
  </si>
  <si>
    <t>joshna910@gmail.com</t>
  </si>
  <si>
    <t>Joshna Devi</t>
  </si>
  <si>
    <t xml:space="preserve">Aditya thakur </t>
  </si>
  <si>
    <t xml:space="preserve">Shubham Mishra </t>
  </si>
  <si>
    <t>Shubham.M@mountmerugroup.com</t>
  </si>
  <si>
    <t xml:space="preserve">Manish Todwal </t>
  </si>
  <si>
    <t>Manish.T@mountmerugroup.com</t>
  </si>
  <si>
    <t>Mohammad Alfaz</t>
  </si>
  <si>
    <t>Alfaz.M@mountmerugroup.com</t>
  </si>
  <si>
    <t>+91 7760309417</t>
  </si>
  <si>
    <t>01010325</t>
  </si>
  <si>
    <t>Viraj Vaze</t>
  </si>
  <si>
    <t>viraj.v@mountmerugroup.com</t>
  </si>
  <si>
    <t>01010326</t>
  </si>
  <si>
    <t xml:space="preserve">Deepika Kavaiya </t>
  </si>
  <si>
    <t>deepika.k@mountmerugroup.com</t>
  </si>
  <si>
    <t>01010327</t>
  </si>
  <si>
    <t>Prachi Patil</t>
  </si>
  <si>
    <t>Prachi.P@mountmerugroup.com</t>
  </si>
  <si>
    <t>Amey Naresh Wadikar</t>
  </si>
  <si>
    <t>01010328</t>
  </si>
  <si>
    <t>Surya Narayana Murthy Datu</t>
  </si>
  <si>
    <t>Surya.N@mountmerugroup.com</t>
  </si>
  <si>
    <t>Madhumita Mandal</t>
  </si>
  <si>
    <t>01010330</t>
  </si>
  <si>
    <t xml:space="preserve">Vishvas Mishra </t>
  </si>
  <si>
    <t>Vishvas.M@mountmerugroup.com</t>
  </si>
  <si>
    <t>Nirmal Rajpurohit</t>
  </si>
  <si>
    <t>01010218</t>
  </si>
  <si>
    <t>Dilipbhai Vyas</t>
  </si>
  <si>
    <t>Sahil Singh</t>
  </si>
  <si>
    <t>01010277</t>
  </si>
  <si>
    <t>Shivani Sharma</t>
  </si>
  <si>
    <t>Anbarasu Suyambulingam</t>
  </si>
  <si>
    <t>Siddharth Nair</t>
  </si>
  <si>
    <t>04010076</t>
  </si>
  <si>
    <t>Govindrajan</t>
  </si>
  <si>
    <t>01010238</t>
  </si>
  <si>
    <t>Nikshita Bhatt</t>
  </si>
  <si>
    <t>Depak Subramaniyan</t>
  </si>
  <si>
    <t>Atul Gautam</t>
  </si>
  <si>
    <t>01010191</t>
  </si>
  <si>
    <t>Ram Bhandari</t>
  </si>
  <si>
    <t>Pooja Verma</t>
  </si>
  <si>
    <t>Indrajeet Prajapati</t>
  </si>
  <si>
    <t>Roopal Jain</t>
  </si>
  <si>
    <t>Amit Kumar Sharma</t>
  </si>
  <si>
    <t>Dishant Verma</t>
  </si>
  <si>
    <t>Varun Juju</t>
  </si>
  <si>
    <t>Ganesh Chourasiya</t>
  </si>
  <si>
    <t>01010315</t>
  </si>
  <si>
    <t>Hanumatharao Ainavalli</t>
  </si>
  <si>
    <t>Sanjiv Nair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</si>
</sst>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4009]dd/mm/yyyy;@"/>
  </numFmts>
  <fonts count="13" x14ac:knownFonts="1">
    <font>
      <sz val="11"/>
      <color theme="1"/>
      <name val="Calibri"/>
      <family val="2"/>
      <scheme val="minor"/>
    </font>
    <font>
      <b/>
      <sz val="11"/>
      <color theme="1"/>
      <name val="Calibri"/>
      <family val="2"/>
      <scheme val="minor"/>
    </font>
    <font>
      <sz val="11"/>
      <color rgb="FF141414"/>
      <name val="Segoe UI"/>
      <family val="2"/>
    </font>
    <font>
      <b/>
      <sz val="11"/>
      <color theme="0"/>
      <name val="Calibri"/>
      <family val="2"/>
      <scheme val="minor"/>
    </font>
    <font>
      <sz val="9"/>
      <color rgb="FF141414"/>
      <name val="Segoe UI"/>
      <family val="2"/>
    </font>
    <font>
      <b/>
      <sz val="18"/>
      <color theme="0"/>
      <name val="Calibri"/>
      <family val="2"/>
      <scheme val="minor"/>
    </font>
    <font>
      <b/>
      <sz val="14"/>
      <color theme="1"/>
      <name val="Calibri"/>
      <family val="2"/>
      <scheme val="minor"/>
    </font>
    <font>
      <sz val="14"/>
      <color theme="1"/>
      <name val="Calibri"/>
      <family val="2"/>
      <scheme val="minor"/>
    </font>
    <font>
      <u/>
      <sz val="11"/>
      <color theme="10"/>
      <name val="Calibri"/>
      <family val="2"/>
      <scheme val="minor"/>
    </font>
    <font>
      <sz val="11"/>
      <color rgb="FF000000"/>
      <name val="Calibri"/>
      <family val="2"/>
      <scheme val="minor"/>
    </font>
    <font>
      <sz val="10"/>
      <color theme="1"/>
      <name val="Calibri"/>
      <family val="2"/>
      <scheme val="minor"/>
    </font>
    <font>
      <b/>
      <sz val="11"/>
      <color rgb="FF000000"/>
      <name val="Calibri"/>
      <scheme val="minor"/>
    </font>
    <font>
      <sz val="11"/>
      <color rgb="FF000000"/>
      <name val="Calibri Light"/>
      <family val="2"/>
    </font>
  </fonts>
  <fills count="5">
    <fill>
      <patternFill patternType="none"/>
    </fill>
    <fill>
      <patternFill patternType="gray125"/>
    </fill>
    <fill>
      <patternFill patternType="solid">
        <fgColor rgb="FF097054"/>
        <bgColor indexed="64"/>
      </patternFill>
    </fill>
    <fill>
      <patternFill patternType="solid">
        <fgColor rgb="FF99CC99"/>
        <bgColor indexed="64"/>
      </patternFill>
    </fill>
    <fill>
      <patternFill patternType="solid">
        <fgColor rgb="FF045C4C"/>
        <bgColor indexed="64"/>
      </patternFill>
    </fill>
  </fills>
  <borders count="12">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style="thin">
        <color indexed="64"/>
      </bottom>
      <diagonal/>
    </border>
    <border>
      <left/>
      <right/>
      <top style="medium">
        <color indexed="64"/>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bottom/>
      <diagonal/>
    </border>
  </borders>
  <cellStyleXfs count="2">
    <xf numFmtId="0" fontId="0" fillId="0" borderId="0"/>
    <xf numFmtId="0" fontId="8" fillId="0" borderId="0" applyNumberFormat="0" applyFill="0" applyBorder="0" applyAlignment="0" applyProtection="0"/>
  </cellStyleXfs>
  <cellXfs count="58">
    <xf numFmtId="0" fontId="0" fillId="0" borderId="0" xfId="0"/>
    <xf numFmtId="0" fontId="2" fillId="0" borderId="0" xfId="0" applyFont="1"/>
    <xf numFmtId="0" fontId="1" fillId="0" borderId="0" xfId="0" applyFont="1" applyAlignment="1">
      <alignment horizontal="center" vertical="center"/>
    </xf>
    <xf numFmtId="0" fontId="4" fillId="0" borderId="0" xfId="0" applyFont="1"/>
    <xf numFmtId="0" fontId="0" fillId="0" borderId="0" xfId="0" applyAlignment="1">
      <alignment vertical="center"/>
    </xf>
    <xf numFmtId="0" fontId="1" fillId="0" borderId="0" xfId="0" applyFont="1" applyAlignment="1">
      <alignment vertical="center"/>
    </xf>
    <xf numFmtId="0" fontId="1" fillId="0" borderId="0" xfId="0" applyFont="1" applyAlignment="1">
      <alignment horizontal="center"/>
    </xf>
    <xf numFmtId="0" fontId="0" fillId="0" borderId="0" xfId="0" applyAlignment="1">
      <alignment horizontal="center" vertical="center"/>
    </xf>
    <xf numFmtId="0" fontId="1" fillId="0" borderId="0" xfId="0" applyFont="1"/>
    <xf numFmtId="0" fontId="1" fillId="0" borderId="0" xfId="0" applyFont="1" applyAlignment="1">
      <alignment wrapText="1"/>
    </xf>
    <xf numFmtId="0" fontId="3" fillId="2" borderId="0" xfId="0" applyFont="1" applyFill="1" applyAlignment="1">
      <alignment horizontal="left" vertical="center"/>
    </xf>
    <xf numFmtId="0" fontId="3" fillId="2" borderId="0" xfId="0" applyFont="1" applyFill="1" applyAlignment="1">
      <alignment horizontal="center" vertical="center"/>
    </xf>
    <xf numFmtId="0" fontId="8" fillId="0" borderId="0" xfId="1"/>
    <xf numFmtId="164" fontId="0" fillId="0" borderId="0" xfId="0" applyNumberFormat="1"/>
    <xf numFmtId="164" fontId="0" fillId="0" borderId="0" xfId="0" applyNumberFormat="1" applyAlignment="1">
      <alignment horizontal="center"/>
    </xf>
    <xf numFmtId="0" fontId="0" fillId="0" borderId="0" xfId="0" applyAlignment="1">
      <alignment horizontal="center"/>
    </xf>
    <xf numFmtId="15" fontId="9" fillId="0" borderId="2" xfId="0" applyNumberFormat="1" applyFont="1" applyBorder="1" applyAlignment="1">
      <alignment horizontal="left"/>
    </xf>
    <xf numFmtId="0" fontId="3" fillId="2" borderId="2" xfId="0" applyFont="1" applyFill="1" applyBorder="1" applyAlignment="1">
      <alignment horizontal="left" vertical="center"/>
    </xf>
    <xf numFmtId="0" fontId="9" fillId="0" borderId="2" xfId="0" applyFont="1" applyBorder="1"/>
    <xf numFmtId="0" fontId="0" fillId="0" borderId="2" xfId="0" applyBorder="1"/>
    <xf numFmtId="0" fontId="1" fillId="3" borderId="0" xfId="0" applyFont="1" applyFill="1" applyAlignment="1">
      <alignment horizontal="center" vertical="center"/>
    </xf>
    <xf numFmtId="0" fontId="10" fillId="0" borderId="2" xfId="0" applyFont="1" applyBorder="1" applyAlignment="1">
      <alignment horizontal="left"/>
    </xf>
    <xf numFmtId="0" fontId="9" fillId="0" borderId="2" xfId="0" applyFont="1" applyBorder="1" applyAlignment="1">
      <alignment horizontal="left" vertical="center"/>
    </xf>
    <xf numFmtId="0" fontId="11" fillId="0" borderId="3" xfId="0" applyFont="1" applyBorder="1"/>
    <xf numFmtId="0" fontId="11" fillId="0" borderId="9" xfId="0" applyFont="1" applyBorder="1" applyAlignment="1">
      <alignment horizontal="left"/>
    </xf>
    <xf numFmtId="0" fontId="11" fillId="0" borderId="2" xfId="0" applyFont="1" applyBorder="1" applyAlignment="1">
      <alignment horizontal="left"/>
    </xf>
    <xf numFmtId="0" fontId="11" fillId="0" borderId="2" xfId="0" applyFont="1" applyBorder="1" applyAlignment="1">
      <alignment horizontal="left" vertical="center"/>
    </xf>
    <xf numFmtId="0" fontId="5" fillId="4" borderId="0" xfId="0" applyFont="1" applyFill="1" applyAlignment="1">
      <alignment horizontal="left" vertical="top" wrapText="1"/>
    </xf>
    <xf numFmtId="0" fontId="1" fillId="0" borderId="0" xfId="0" applyFont="1" applyAlignment="1">
      <alignment horizontal="center" vertical="center"/>
    </xf>
    <xf numFmtId="0" fontId="1" fillId="3" borderId="0" xfId="0" applyFont="1" applyFill="1" applyAlignment="1">
      <alignment horizontal="center" vertical="center"/>
    </xf>
    <xf numFmtId="0" fontId="1" fillId="3" borderId="1" xfId="0" applyFont="1" applyFill="1" applyBorder="1" applyAlignment="1">
      <alignment horizontal="center" vertical="center"/>
    </xf>
    <xf numFmtId="0" fontId="6" fillId="0" borderId="0" xfId="0" applyFont="1" applyAlignment="1">
      <alignment horizontal="left" vertical="top" wrapText="1"/>
    </xf>
    <xf numFmtId="0" fontId="7" fillId="0" borderId="0" xfId="0" applyFont="1" applyAlignment="1">
      <alignment horizontal="left" vertical="top" wrapText="1"/>
    </xf>
    <xf numFmtId="0" fontId="1" fillId="0" borderId="6" xfId="0" applyFont="1" applyBorder="1" applyAlignment="1">
      <alignment horizontal="center" vertical="center"/>
    </xf>
    <xf numFmtId="0" fontId="9" fillId="0" borderId="2" xfId="0" applyFont="1" applyBorder="1" applyAlignment="1">
      <alignment horizontal="center"/>
    </xf>
    <xf numFmtId="0" fontId="9" fillId="0" borderId="7" xfId="0" applyFont="1" applyBorder="1" applyAlignment="1">
      <alignment vertical="center"/>
    </xf>
    <xf numFmtId="0" fontId="9" fillId="0" borderId="3" xfId="0" applyFont="1" applyBorder="1" applyAlignment="1">
      <alignment vertical="center"/>
    </xf>
    <xf numFmtId="15" fontId="9" fillId="0" borderId="8" xfId="0" applyNumberFormat="1" applyFont="1" applyBorder="1" applyAlignment="1">
      <alignment horizontal="center" vertical="center"/>
    </xf>
    <xf numFmtId="0" fontId="9" fillId="0" borderId="7" xfId="0" applyFont="1" applyBorder="1" applyAlignment="1">
      <alignment horizontal="center" vertical="center"/>
    </xf>
    <xf numFmtId="15" fontId="0" fillId="0" borderId="2" xfId="0" applyNumberFormat="1" applyBorder="1" applyAlignment="1">
      <alignment horizontal="center" vertical="center"/>
    </xf>
    <xf numFmtId="0" fontId="9" fillId="0" borderId="8" xfId="0" applyFont="1" applyBorder="1" applyAlignment="1">
      <alignment horizontal="center"/>
    </xf>
    <xf numFmtId="0" fontId="9" fillId="0" borderId="4" xfId="0" applyFont="1" applyBorder="1" applyAlignment="1">
      <alignment vertical="center"/>
    </xf>
    <xf numFmtId="15" fontId="0" fillId="0" borderId="8" xfId="0" applyNumberFormat="1" applyBorder="1" applyAlignment="1">
      <alignment horizontal="center" vertical="center"/>
    </xf>
    <xf numFmtId="0" fontId="9" fillId="0" borderId="2" xfId="0" applyFont="1" applyBorder="1" applyAlignment="1">
      <alignment vertical="center"/>
    </xf>
    <xf numFmtId="15" fontId="9" fillId="0" borderId="2" xfId="0" applyNumberFormat="1" applyFont="1" applyBorder="1" applyAlignment="1">
      <alignment horizontal="center" vertical="center"/>
    </xf>
    <xf numFmtId="0" fontId="9" fillId="0" borderId="5" xfId="0" applyFont="1" applyBorder="1" applyAlignment="1">
      <alignment horizontal="center"/>
    </xf>
    <xf numFmtId="0" fontId="9" fillId="0" borderId="10" xfId="0" applyFont="1" applyBorder="1" applyAlignment="1">
      <alignment vertical="center"/>
    </xf>
    <xf numFmtId="15" fontId="0" fillId="0" borderId="0" xfId="0" applyNumberFormat="1" applyAlignment="1">
      <alignment horizontal="center"/>
    </xf>
    <xf numFmtId="15" fontId="9" fillId="0" borderId="11" xfId="0" applyNumberFormat="1" applyFont="1" applyBorder="1" applyAlignment="1">
      <alignment horizontal="center" vertical="center"/>
    </xf>
    <xf numFmtId="15" fontId="0" fillId="0" borderId="11" xfId="0" applyNumberFormat="1" applyBorder="1" applyAlignment="1">
      <alignment horizontal="center" vertical="center"/>
    </xf>
    <xf numFmtId="15" fontId="0" fillId="0" borderId="2" xfId="0" applyNumberFormat="1" applyBorder="1" applyAlignment="1">
      <alignment horizontal="center"/>
    </xf>
    <xf numFmtId="0" fontId="9" fillId="0" borderId="2" xfId="0" quotePrefix="1" applyFont="1" applyBorder="1" applyAlignment="1">
      <alignment horizontal="center"/>
    </xf>
    <xf numFmtId="0" fontId="12" fillId="0" borderId="3" xfId="0" applyFont="1" applyBorder="1"/>
    <xf numFmtId="0" fontId="0" fillId="0" borderId="2" xfId="0" applyBorder="1" applyAlignment="1">
      <alignment horizontal="left" vertical="center"/>
    </xf>
    <xf numFmtId="0" fontId="9" fillId="0" borderId="8" xfId="0" quotePrefix="1" applyFont="1" applyBorder="1" applyAlignment="1">
      <alignment horizontal="center"/>
    </xf>
    <xf numFmtId="0" fontId="0" fillId="0" borderId="8" xfId="0" applyBorder="1" applyAlignment="1">
      <alignment horizontal="left" vertical="center"/>
    </xf>
    <xf numFmtId="0" fontId="9" fillId="0" borderId="2" xfId="0" applyFont="1" applyBorder="1" applyAlignment="1">
      <alignment horizontal="center" vertical="center"/>
    </xf>
    <xf numFmtId="0" fontId="9" fillId="0" borderId="2" xfId="0" quotePrefix="1" applyFont="1" applyBorder="1" applyAlignment="1">
      <alignment horizontal="center" vertical="center"/>
    </xf>
  </cellXfs>
  <cellStyles count="2">
    <cellStyle name="Hyperlink" xfId="1" builtinId="8"/>
    <cellStyle name="Normal" xfId="0" builtinId="0"/>
  </cellStyles>
  <dxfs count="69">
    <dxf>
      <font>
        <color rgb="FF9C0006"/>
      </font>
      <fill>
        <patternFill>
          <bgColor rgb="FFFFC7CE"/>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2" defaultPivotStyle="PivotStyleLight16"/>
  <colors>
    <mruColors>
      <color rgb="FF99CC99"/>
      <color rgb="FF045C4C"/>
      <color rgb="FF3BDBCA"/>
      <color rgb="FF00628B"/>
      <color rgb="FF6599FF"/>
      <color rgb="FF097054"/>
      <color rgb="FF2C6700"/>
      <color rgb="FF0F3B5F"/>
      <color rgb="FF3333FF"/>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296289</xdr:colOff>
      <xdr:row>20</xdr:row>
      <xdr:rowOff>6065</xdr:rowOff>
    </xdr:from>
    <xdr:to>
      <xdr:col>18</xdr:col>
      <xdr:colOff>36443</xdr:colOff>
      <xdr:row>34</xdr:row>
      <xdr:rowOff>47625</xdr:rowOff>
    </xdr:to>
    <xdr:grpSp>
      <xdr:nvGrpSpPr>
        <xdr:cNvPr id="13" name="Group 12">
          <a:extLst>
            <a:ext uri="{FF2B5EF4-FFF2-40B4-BE49-F238E27FC236}">
              <a16:creationId xmlns:a16="http://schemas.microsoft.com/office/drawing/2014/main" id="{020A2598-51C0-E808-4B33-7CC96F56FB12}"/>
            </a:ext>
          </a:extLst>
        </xdr:cNvPr>
        <xdr:cNvGrpSpPr/>
      </xdr:nvGrpSpPr>
      <xdr:grpSpPr>
        <a:xfrm>
          <a:off x="17854039" y="4554253"/>
          <a:ext cx="3518404" cy="2613310"/>
          <a:chOff x="18631914" y="3673190"/>
          <a:chExt cx="3835904" cy="2740310"/>
        </a:xfrm>
      </xdr:grpSpPr>
      <xdr:sp macro="[0]!IncompleteDataAdditionsSheet" textlink="">
        <xdr:nvSpPr>
          <xdr:cNvPr id="3" name="Missing_Data">
            <a:extLst>
              <a:ext uri="{FF2B5EF4-FFF2-40B4-BE49-F238E27FC236}">
                <a16:creationId xmlns:a16="http://schemas.microsoft.com/office/drawing/2014/main" id="{64F95290-7E65-B482-C32E-FE3F5331CE15}"/>
              </a:ext>
            </a:extLst>
          </xdr:cNvPr>
          <xdr:cNvSpPr/>
        </xdr:nvSpPr>
        <xdr:spPr>
          <a:xfrm>
            <a:off x="19108838" y="4239409"/>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0]!WrongDataFormatAdditionsSheet" textlink="">
        <xdr:nvSpPr>
          <xdr:cNvPr id="4" name="Format_Error">
            <a:extLst>
              <a:ext uri="{FF2B5EF4-FFF2-40B4-BE49-F238E27FC236}">
                <a16:creationId xmlns:a16="http://schemas.microsoft.com/office/drawing/2014/main" id="{BA803F12-584D-4D4A-54AC-C680010F07B4}"/>
              </a:ext>
            </a:extLst>
          </xdr:cNvPr>
          <xdr:cNvSpPr/>
        </xdr:nvSpPr>
        <xdr:spPr>
          <a:xfrm>
            <a:off x="19108838" y="4929907"/>
            <a:ext cx="2882057" cy="310896"/>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2.</a:t>
            </a:r>
            <a:r>
              <a:rPr lang="en-IN" sz="1200" b="1" baseline="0">
                <a:solidFill>
                  <a:schemeClr val="lt1"/>
                </a:solidFill>
                <a:latin typeface="+mn-lt"/>
                <a:ea typeface="+mn-ea"/>
                <a:cs typeface="+mn-cs"/>
              </a:rPr>
              <a:t> Check for Data Entry Error</a:t>
            </a:r>
            <a:endParaRPr lang="en-IN" sz="1200" b="1">
              <a:solidFill>
                <a:schemeClr val="lt1"/>
              </a:solidFill>
              <a:latin typeface="+mn-lt"/>
              <a:ea typeface="+mn-ea"/>
              <a:cs typeface="+mn-cs"/>
            </a:endParaRPr>
          </a:p>
        </xdr:txBody>
      </xdr:sp>
      <xdr:sp macro="[0]!duplicateDataAdditionsSheet" textlink="">
        <xdr:nvSpPr>
          <xdr:cNvPr id="5" name="Duplicate_Data">
            <a:extLst>
              <a:ext uri="{FF2B5EF4-FFF2-40B4-BE49-F238E27FC236}">
                <a16:creationId xmlns:a16="http://schemas.microsoft.com/office/drawing/2014/main" id="{81618B31-671E-D7F0-887E-B908F05651AE}"/>
              </a:ext>
            </a:extLst>
          </xdr:cNvPr>
          <xdr:cNvSpPr/>
        </xdr:nvSpPr>
        <xdr:spPr>
          <a:xfrm>
            <a:off x="19108838" y="5620405"/>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3. Check for</a:t>
            </a:r>
            <a:r>
              <a:rPr lang="en-IN" sz="1200" b="1" baseline="0">
                <a:solidFill>
                  <a:schemeClr val="lt1"/>
                </a:solidFill>
                <a:latin typeface="+mn-lt"/>
                <a:ea typeface="+mn-ea"/>
                <a:cs typeface="+mn-cs"/>
              </a:rPr>
              <a:t> Duplicate Data</a:t>
            </a:r>
            <a:endParaRPr lang="en-IN" sz="1200" b="1">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A1E01D56-BC6D-1B0C-6283-B3B2453E6365}"/>
              </a:ext>
            </a:extLst>
          </xdr:cNvPr>
          <xdr:cNvSpPr/>
        </xdr:nvSpPr>
        <xdr:spPr>
          <a:xfrm>
            <a:off x="18631914" y="3816540"/>
            <a:ext cx="3835904" cy="2596960"/>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53D472FF-F705-98F2-5DE8-B273DD781ACB}"/>
              </a:ext>
            </a:extLst>
          </xdr:cNvPr>
          <xdr:cNvSpPr txBox="1"/>
        </xdr:nvSpPr>
        <xdr:spPr>
          <a:xfrm>
            <a:off x="19642170"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083B7FE7-24FD-6333-D04D-DAD08830FB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557214" y="911426"/>
          <a:ext cx="1235869" cy="641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89914</xdr:colOff>
      <xdr:row>18</xdr:row>
      <xdr:rowOff>6065</xdr:rowOff>
    </xdr:from>
    <xdr:to>
      <xdr:col>11</xdr:col>
      <xdr:colOff>988943</xdr:colOff>
      <xdr:row>24</xdr:row>
      <xdr:rowOff>158750</xdr:rowOff>
    </xdr:to>
    <xdr:grpSp>
      <xdr:nvGrpSpPr>
        <xdr:cNvPr id="10" name="Group 9">
          <a:extLst>
            <a:ext uri="{FF2B5EF4-FFF2-40B4-BE49-F238E27FC236}">
              <a16:creationId xmlns:a16="http://schemas.microsoft.com/office/drawing/2014/main" id="{697E8D1C-7473-FC41-BEB5-81B3F3705258}"/>
            </a:ext>
          </a:extLst>
        </xdr:cNvPr>
        <xdr:cNvGrpSpPr/>
      </xdr:nvGrpSpPr>
      <xdr:grpSpPr>
        <a:xfrm>
          <a:off x="11869164" y="4212940"/>
          <a:ext cx="3581904" cy="1255998"/>
          <a:chOff x="12948664" y="3673190"/>
          <a:chExt cx="3835904" cy="1311560"/>
        </a:xfrm>
      </xdr:grpSpPr>
      <xdr:sp macro="[0]!IncompleteDataDeletionSheet" textlink="">
        <xdr:nvSpPr>
          <xdr:cNvPr id="3" name="Missing_Data">
            <a:extLst>
              <a:ext uri="{FF2B5EF4-FFF2-40B4-BE49-F238E27FC236}">
                <a16:creationId xmlns:a16="http://schemas.microsoft.com/office/drawing/2014/main" id="{96589DEB-593B-B5C2-DB41-6FE2C91C35D1}"/>
              </a:ext>
            </a:extLst>
          </xdr:cNvPr>
          <xdr:cNvSpPr/>
        </xdr:nvSpPr>
        <xdr:spPr>
          <a:xfrm>
            <a:off x="13425588" y="4239409"/>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 textlink="">
        <xdr:nvSpPr>
          <xdr:cNvPr id="6" name="Rectangle 5">
            <a:extLst>
              <a:ext uri="{FF2B5EF4-FFF2-40B4-BE49-F238E27FC236}">
                <a16:creationId xmlns:a16="http://schemas.microsoft.com/office/drawing/2014/main" id="{EC9F305F-45FF-DCE2-7997-1013C787E627}"/>
              </a:ext>
            </a:extLst>
          </xdr:cNvPr>
          <xdr:cNvSpPr/>
        </xdr:nvSpPr>
        <xdr:spPr>
          <a:xfrm>
            <a:off x="12948664" y="3816540"/>
            <a:ext cx="3835904" cy="1168210"/>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TextBox 6">
            <a:extLst>
              <a:ext uri="{FF2B5EF4-FFF2-40B4-BE49-F238E27FC236}">
                <a16:creationId xmlns:a16="http://schemas.microsoft.com/office/drawing/2014/main" id="{767E8326-FC8E-FD4E-6ED5-B7A16047B93D}"/>
              </a:ext>
            </a:extLst>
          </xdr:cNvPr>
          <xdr:cNvSpPr txBox="1"/>
        </xdr:nvSpPr>
        <xdr:spPr>
          <a:xfrm>
            <a:off x="13958920"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F888CB24-62A4-5145-93BE-6E10F026DF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586583" y="894757"/>
          <a:ext cx="1235869" cy="6302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26414</xdr:colOff>
      <xdr:row>15</xdr:row>
      <xdr:rowOff>6065</xdr:rowOff>
    </xdr:from>
    <xdr:to>
      <xdr:col>11</xdr:col>
      <xdr:colOff>925443</xdr:colOff>
      <xdr:row>21</xdr:row>
      <xdr:rowOff>142875</xdr:rowOff>
    </xdr:to>
    <xdr:grpSp>
      <xdr:nvGrpSpPr>
        <xdr:cNvPr id="10" name="Group 9">
          <a:extLst>
            <a:ext uri="{FF2B5EF4-FFF2-40B4-BE49-F238E27FC236}">
              <a16:creationId xmlns:a16="http://schemas.microsoft.com/office/drawing/2014/main" id="{F5E1CB5A-8C7E-EF86-0D4B-E0E8564E99E7}"/>
            </a:ext>
          </a:extLst>
        </xdr:cNvPr>
        <xdr:cNvGrpSpPr/>
      </xdr:nvGrpSpPr>
      <xdr:grpSpPr>
        <a:xfrm>
          <a:off x="11956477" y="3768440"/>
          <a:ext cx="3458872" cy="1291716"/>
          <a:chOff x="13250289" y="3673190"/>
          <a:chExt cx="3835904" cy="1295685"/>
        </a:xfrm>
      </xdr:grpSpPr>
      <xdr:sp macro="[0]!IncompleteDataCorrectionSheet" textlink="">
        <xdr:nvSpPr>
          <xdr:cNvPr id="3" name="Missing_Data">
            <a:extLst>
              <a:ext uri="{FF2B5EF4-FFF2-40B4-BE49-F238E27FC236}">
                <a16:creationId xmlns:a16="http://schemas.microsoft.com/office/drawing/2014/main" id="{2ABC56CD-B37B-5AE6-4591-22E8DC28D1E0}"/>
              </a:ext>
            </a:extLst>
          </xdr:cNvPr>
          <xdr:cNvSpPr/>
        </xdr:nvSpPr>
        <xdr:spPr>
          <a:xfrm>
            <a:off x="13727213" y="4239409"/>
            <a:ext cx="2882057" cy="312770"/>
          </a:xfrm>
          <a:prstGeom prst="roundRect">
            <a:avLst/>
          </a:prstGeom>
          <a:solidFill>
            <a:srgbClr val="0970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200" b="1">
                <a:solidFill>
                  <a:schemeClr val="lt1"/>
                </a:solidFill>
                <a:latin typeface="+mn-lt"/>
                <a:ea typeface="+mn-ea"/>
                <a:cs typeface="+mn-cs"/>
              </a:rPr>
              <a:t>1. Check for Missing Data</a:t>
            </a:r>
          </a:p>
        </xdr:txBody>
      </xdr:sp>
      <xdr:sp macro="" textlink="">
        <xdr:nvSpPr>
          <xdr:cNvPr id="6" name="Rectangle 5">
            <a:extLst>
              <a:ext uri="{FF2B5EF4-FFF2-40B4-BE49-F238E27FC236}">
                <a16:creationId xmlns:a16="http://schemas.microsoft.com/office/drawing/2014/main" id="{A20702B9-735B-28B4-CC54-FAFC8DD94BFD}"/>
              </a:ext>
            </a:extLst>
          </xdr:cNvPr>
          <xdr:cNvSpPr/>
        </xdr:nvSpPr>
        <xdr:spPr>
          <a:xfrm>
            <a:off x="13250289" y="3816540"/>
            <a:ext cx="3835904" cy="1152335"/>
          </a:xfrm>
          <a:prstGeom prst="rect">
            <a:avLst/>
          </a:prstGeom>
          <a:noFill/>
          <a:ln w="57150">
            <a:solidFill>
              <a:srgbClr val="09705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TextBox 6">
            <a:extLst>
              <a:ext uri="{FF2B5EF4-FFF2-40B4-BE49-F238E27FC236}">
                <a16:creationId xmlns:a16="http://schemas.microsoft.com/office/drawing/2014/main" id="{0B363949-804A-D676-DB17-0DC4F839B8AC}"/>
              </a:ext>
            </a:extLst>
          </xdr:cNvPr>
          <xdr:cNvSpPr txBox="1"/>
        </xdr:nvSpPr>
        <xdr:spPr>
          <a:xfrm>
            <a:off x="14260545" y="3673190"/>
            <a:ext cx="1964107" cy="2432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97054"/>
                </a:solidFill>
              </a:rPr>
              <a:t>Validation</a:t>
            </a:r>
            <a:r>
              <a:rPr lang="en-IN" sz="1400" b="1" baseline="0">
                <a:solidFill>
                  <a:srgbClr val="097054"/>
                </a:solidFill>
              </a:rPr>
              <a:t> Check</a:t>
            </a:r>
            <a:endParaRPr lang="en-IN" sz="1400" b="1">
              <a:solidFill>
                <a:srgbClr val="097054"/>
              </a:solidFill>
            </a:endParaRPr>
          </a:p>
        </xdr:txBody>
      </xdr:sp>
    </xdr:grpSp>
    <xdr:clientData/>
  </xdr:twoCellAnchor>
  <xdr:twoCellAnchor editAs="oneCell">
    <xdr:from>
      <xdr:col>1</xdr:col>
      <xdr:colOff>307183</xdr:colOff>
      <xdr:row>3</xdr:row>
      <xdr:rowOff>18457</xdr:rowOff>
    </xdr:from>
    <xdr:to>
      <xdr:col>1</xdr:col>
      <xdr:colOff>1543052</xdr:colOff>
      <xdr:row>5</xdr:row>
      <xdr:rowOff>64520</xdr:rowOff>
    </xdr:to>
    <xdr:pic>
      <xdr:nvPicPr>
        <xdr:cNvPr id="8" name="Graphic 7">
          <a:extLst>
            <a:ext uri="{FF2B5EF4-FFF2-40B4-BE49-F238E27FC236}">
              <a16:creationId xmlns:a16="http://schemas.microsoft.com/office/drawing/2014/main" id="{AFA6480A-93E9-AD4A-B943-EB0A83EC90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586583" y="894757"/>
          <a:ext cx="1235869" cy="6302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Vishvas.M@mountmerugroup.com" TargetMode="External"/><Relationship Id="rId3" Type="http://schemas.openxmlformats.org/officeDocument/2006/relationships/hyperlink" Target="mailto:Shubham.M@mountmerugroup.com" TargetMode="External"/><Relationship Id="rId7" Type="http://schemas.openxmlformats.org/officeDocument/2006/relationships/hyperlink" Target="mailto:Prachi.P@mountmerugroup.com" TargetMode="External"/><Relationship Id="rId2" Type="http://schemas.openxmlformats.org/officeDocument/2006/relationships/hyperlink" Target="mailto:Ujjwal.K@mountmerugroup.com" TargetMode="External"/><Relationship Id="rId1" Type="http://schemas.openxmlformats.org/officeDocument/2006/relationships/hyperlink" Target="mailto:Kommana.R@mountmerugroup.com" TargetMode="External"/><Relationship Id="rId6" Type="http://schemas.openxmlformats.org/officeDocument/2006/relationships/hyperlink" Target="mailto:Prachi.P@mountmerugroup.com" TargetMode="External"/><Relationship Id="rId5" Type="http://schemas.openxmlformats.org/officeDocument/2006/relationships/hyperlink" Target="mailto:Alfaz.M@mountmerugroup.com" TargetMode="External"/><Relationship Id="rId10" Type="http://schemas.openxmlformats.org/officeDocument/2006/relationships/drawing" Target="../drawings/drawing1.xml"/><Relationship Id="rId4" Type="http://schemas.openxmlformats.org/officeDocument/2006/relationships/hyperlink" Target="mailto:Manish.T@mountmerugroup.com"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59"/>
  <sheetViews>
    <sheetView showGridLines="0" topLeftCell="C8" zoomScale="80" zoomScaleNormal="80" workbookViewId="0">
      <selection activeCell="D10" sqref="D10:M26"/>
    </sheetView>
  </sheetViews>
  <sheetFormatPr defaultColWidth="8.81640625" defaultRowHeight="14.5" x14ac:dyDescent="0.35"/>
  <cols>
    <col min="1" max="1" width="3.7265625" customWidth="1"/>
    <col min="2" max="2" width="27.453125" customWidth="1"/>
    <col min="3" max="3" width="3.7265625" customWidth="1"/>
    <col min="4" max="4" width="13.26953125" customWidth="1"/>
    <col min="5" max="5" width="35.453125" bestFit="1" customWidth="1"/>
    <col min="6" max="6" width="11.453125" customWidth="1"/>
    <col min="7" max="7" width="18.81640625" bestFit="1" customWidth="1"/>
    <col min="8" max="8" width="16.7265625" bestFit="1" customWidth="1"/>
    <col min="9" max="9" width="10.1796875" customWidth="1"/>
    <col min="10" max="10" width="17.26953125" customWidth="1"/>
    <col min="11" max="11" width="38.453125" bestFit="1" customWidth="1"/>
    <col min="12" max="12" width="19" customWidth="1"/>
    <col min="13" max="13" width="17.81640625" customWidth="1"/>
    <col min="14" max="14" width="17.81640625" bestFit="1" customWidth="1"/>
    <col min="17" max="17" width="17.453125" customWidth="1"/>
    <col min="18" max="18" width="18.81640625" bestFit="1" customWidth="1"/>
    <col min="19" max="19" width="11.81640625" customWidth="1"/>
  </cols>
  <sheetData>
    <row r="1" spans="2:15" ht="23.25" customHeight="1" x14ac:dyDescent="0.35">
      <c r="C1" s="9"/>
      <c r="D1" s="27" t="s">
        <v>0</v>
      </c>
      <c r="E1" s="27"/>
      <c r="F1" s="27"/>
      <c r="G1" s="27"/>
      <c r="H1" s="27"/>
      <c r="I1" s="27"/>
      <c r="J1" s="27"/>
      <c r="K1" s="27"/>
      <c r="L1" s="27"/>
      <c r="M1" s="27"/>
    </row>
    <row r="2" spans="2:15" ht="23.25" customHeight="1" x14ac:dyDescent="0.4">
      <c r="D2" s="31" t="s">
        <v>1</v>
      </c>
      <c r="E2" s="32"/>
      <c r="F2" s="32"/>
      <c r="G2" s="32"/>
      <c r="H2" s="32"/>
      <c r="I2" s="32"/>
      <c r="J2" s="32"/>
      <c r="K2" s="32"/>
      <c r="L2" s="32"/>
      <c r="O2" s="3"/>
    </row>
    <row r="3" spans="2:15" ht="23.25" customHeight="1" x14ac:dyDescent="0.4">
      <c r="D3" s="32"/>
      <c r="E3" s="32"/>
      <c r="F3" s="32"/>
      <c r="G3" s="32"/>
      <c r="H3" s="32"/>
      <c r="I3" s="32"/>
      <c r="J3" s="32"/>
      <c r="K3" s="32"/>
      <c r="L3" s="32"/>
      <c r="O3" s="3"/>
    </row>
    <row r="4" spans="2:15" ht="23.25" customHeight="1" x14ac:dyDescent="0.35">
      <c r="D4" s="32"/>
      <c r="E4" s="32"/>
      <c r="F4" s="32"/>
      <c r="G4" s="32"/>
      <c r="H4" s="32"/>
      <c r="I4" s="32"/>
      <c r="J4" s="32"/>
      <c r="K4" s="32"/>
      <c r="L4" s="32"/>
    </row>
    <row r="5" spans="2:15" ht="23.25" customHeight="1" x14ac:dyDescent="0.35">
      <c r="D5" s="32"/>
      <c r="E5" s="32"/>
      <c r="F5" s="32"/>
      <c r="G5" s="32"/>
      <c r="H5" s="32"/>
      <c r="I5" s="32"/>
      <c r="J5" s="32"/>
      <c r="K5" s="32"/>
      <c r="L5" s="32"/>
    </row>
    <row r="6" spans="2:15" ht="23.25" customHeight="1" x14ac:dyDescent="0.35">
      <c r="D6" s="32"/>
      <c r="E6" s="32"/>
      <c r="F6" s="32"/>
      <c r="G6" s="32"/>
      <c r="H6" s="32"/>
      <c r="I6" s="32"/>
      <c r="J6" s="32"/>
      <c r="K6" s="32"/>
      <c r="L6" s="32"/>
    </row>
    <row r="7" spans="2:15" ht="23.25" customHeight="1" x14ac:dyDescent="0.35">
      <c r="D7" s="32"/>
      <c r="E7" s="32"/>
      <c r="F7" s="32"/>
      <c r="G7" s="32"/>
      <c r="H7" s="32"/>
      <c r="I7" s="32"/>
      <c r="J7" s="32"/>
      <c r="K7" s="32"/>
      <c r="L7" s="32"/>
    </row>
    <row r="8" spans="2:15" ht="23.25" customHeight="1" x14ac:dyDescent="0.35">
      <c r="D8" s="32"/>
      <c r="E8" s="32"/>
      <c r="F8" s="32"/>
      <c r="G8" s="32"/>
      <c r="H8" s="32"/>
      <c r="I8" s="32"/>
      <c r="J8" s="32"/>
      <c r="K8" s="32"/>
      <c r="L8" s="32"/>
    </row>
    <row r="9" spans="2:15" x14ac:dyDescent="0.35">
      <c r="B9" s="29" t="s">
        <v>2</v>
      </c>
      <c r="D9" s="17" t="s">
        <v>3</v>
      </c>
      <c r="E9" s="17" t="s">
        <v>4</v>
      </c>
      <c r="F9" s="17" t="s">
        <v>5</v>
      </c>
      <c r="G9" s="17" t="s">
        <v>6</v>
      </c>
      <c r="H9" s="17" t="s">
        <v>7</v>
      </c>
      <c r="I9" s="17" t="s">
        <v>8</v>
      </c>
      <c r="J9" s="17" t="s">
        <v>9</v>
      </c>
      <c r="K9" s="17" t="s">
        <v>10</v>
      </c>
      <c r="L9" s="17" t="s">
        <v>11</v>
      </c>
      <c r="M9" s="17" t="s">
        <v>12</v>
      </c>
      <c r="N9" s="17" t="s">
        <v>58</v>
      </c>
    </row>
    <row r="10" spans="2:15" x14ac:dyDescent="0.35">
      <c r="B10" s="30"/>
      <c r="D10" s="34">
        <v>16012525</v>
      </c>
      <c r="E10" s="35" t="s">
        <v>61</v>
      </c>
      <c r="F10" s="36" t="s">
        <v>13</v>
      </c>
      <c r="G10" s="37">
        <v>32609</v>
      </c>
      <c r="H10" s="37">
        <v>45471</v>
      </c>
      <c r="I10" s="35" t="s">
        <v>33</v>
      </c>
      <c r="J10" s="35" t="s">
        <v>62</v>
      </c>
      <c r="K10" s="35" t="s">
        <v>63</v>
      </c>
      <c r="L10" s="38" t="s">
        <v>64</v>
      </c>
      <c r="M10" s="39">
        <v>45402</v>
      </c>
      <c r="N10" s="19"/>
    </row>
    <row r="11" spans="2:15" x14ac:dyDescent="0.35">
      <c r="B11" s="20"/>
      <c r="D11" s="34">
        <v>16012525</v>
      </c>
      <c r="E11" s="35" t="s">
        <v>65</v>
      </c>
      <c r="F11" s="36" t="s">
        <v>66</v>
      </c>
      <c r="G11" s="37">
        <v>32679</v>
      </c>
      <c r="H11" s="37">
        <v>45471</v>
      </c>
      <c r="I11" s="35" t="s">
        <v>14</v>
      </c>
      <c r="J11" s="35" t="s">
        <v>62</v>
      </c>
      <c r="K11" s="35" t="s">
        <v>63</v>
      </c>
      <c r="L11" s="38" t="s">
        <v>64</v>
      </c>
      <c r="M11" s="39">
        <v>45402</v>
      </c>
      <c r="N11" s="19"/>
    </row>
    <row r="12" spans="2:15" x14ac:dyDescent="0.35">
      <c r="B12" s="28">
        <f>COUNTA(F10:F1048576)</f>
        <v>17</v>
      </c>
      <c r="D12" s="34">
        <v>7010154</v>
      </c>
      <c r="E12" s="35" t="s">
        <v>67</v>
      </c>
      <c r="F12" s="36" t="s">
        <v>13</v>
      </c>
      <c r="G12" s="37">
        <v>32973</v>
      </c>
      <c r="H12" s="37">
        <v>45477</v>
      </c>
      <c r="I12" s="35" t="s">
        <v>33</v>
      </c>
      <c r="J12" s="35" t="s">
        <v>62</v>
      </c>
      <c r="K12" s="35" t="s">
        <v>68</v>
      </c>
      <c r="L12" s="38">
        <v>9703306626</v>
      </c>
      <c r="M12" s="39" t="s">
        <v>69</v>
      </c>
      <c r="N12" s="19"/>
    </row>
    <row r="13" spans="2:15" x14ac:dyDescent="0.35">
      <c r="B13" s="28"/>
      <c r="D13" s="34">
        <v>17000005</v>
      </c>
      <c r="E13" s="35" t="s">
        <v>70</v>
      </c>
      <c r="F13" s="36" t="s">
        <v>13</v>
      </c>
      <c r="G13" s="37">
        <v>35318</v>
      </c>
      <c r="H13" s="37">
        <v>45483</v>
      </c>
      <c r="I13" s="35" t="s">
        <v>33</v>
      </c>
      <c r="J13" s="35" t="s">
        <v>62</v>
      </c>
      <c r="K13" s="35" t="s">
        <v>71</v>
      </c>
      <c r="L13" s="38" t="s">
        <v>72</v>
      </c>
      <c r="M13" s="39" t="s">
        <v>69</v>
      </c>
      <c r="N13" s="19"/>
    </row>
    <row r="14" spans="2:15" x14ac:dyDescent="0.35">
      <c r="B14" s="28"/>
      <c r="D14" s="40">
        <v>7010156</v>
      </c>
      <c r="E14" s="35" t="s">
        <v>73</v>
      </c>
      <c r="F14" s="41" t="s">
        <v>13</v>
      </c>
      <c r="G14" s="37">
        <v>29952</v>
      </c>
      <c r="H14" s="37">
        <v>45488</v>
      </c>
      <c r="I14" s="35" t="s">
        <v>33</v>
      </c>
      <c r="J14" s="35" t="s">
        <v>62</v>
      </c>
      <c r="K14" s="35" t="s">
        <v>74</v>
      </c>
      <c r="L14" s="38">
        <v>919418320050</v>
      </c>
      <c r="M14" s="42">
        <v>39474</v>
      </c>
      <c r="N14" s="19"/>
    </row>
    <row r="15" spans="2:15" x14ac:dyDescent="0.35">
      <c r="B15" s="28"/>
      <c r="D15" s="34">
        <v>7010156</v>
      </c>
      <c r="E15" s="35" t="s">
        <v>75</v>
      </c>
      <c r="F15" s="43" t="s">
        <v>66</v>
      </c>
      <c r="G15" s="44">
        <v>30117</v>
      </c>
      <c r="H15" s="44">
        <v>45488</v>
      </c>
      <c r="I15" s="35" t="s">
        <v>14</v>
      </c>
      <c r="J15" s="35" t="s">
        <v>62</v>
      </c>
      <c r="K15" s="35" t="s">
        <v>74</v>
      </c>
      <c r="L15" s="38">
        <v>919418320050</v>
      </c>
      <c r="M15" s="39">
        <v>39474</v>
      </c>
      <c r="N15" s="19"/>
    </row>
    <row r="16" spans="2:15" x14ac:dyDescent="0.35">
      <c r="B16" s="2"/>
      <c r="D16" s="45">
        <v>7010156</v>
      </c>
      <c r="E16" s="35" t="s">
        <v>76</v>
      </c>
      <c r="F16" s="46" t="s">
        <v>50</v>
      </c>
      <c r="G16" s="47">
        <v>39814</v>
      </c>
      <c r="H16" s="48">
        <v>45488</v>
      </c>
      <c r="I16" s="35" t="s">
        <v>33</v>
      </c>
      <c r="J16" s="35" t="s">
        <v>62</v>
      </c>
      <c r="K16" s="35" t="s">
        <v>74</v>
      </c>
      <c r="L16" s="38">
        <v>919418320050</v>
      </c>
      <c r="M16" s="49" t="s">
        <v>69</v>
      </c>
      <c r="N16" s="19"/>
    </row>
    <row r="17" spans="2:14" x14ac:dyDescent="0.35">
      <c r="B17" s="8"/>
      <c r="D17" s="34">
        <v>17000006</v>
      </c>
      <c r="E17" s="35" t="s">
        <v>77</v>
      </c>
      <c r="F17" s="36" t="s">
        <v>13</v>
      </c>
      <c r="G17" s="37">
        <v>35860</v>
      </c>
      <c r="H17" s="37">
        <v>45490</v>
      </c>
      <c r="I17" s="35" t="s">
        <v>33</v>
      </c>
      <c r="J17" s="35" t="s">
        <v>62</v>
      </c>
      <c r="K17" s="35" t="s">
        <v>78</v>
      </c>
      <c r="L17" s="38">
        <v>9970880544</v>
      </c>
      <c r="M17" s="50" t="s">
        <v>69</v>
      </c>
      <c r="N17" s="19"/>
    </row>
    <row r="18" spans="2:14" x14ac:dyDescent="0.35">
      <c r="B18" s="29" t="s">
        <v>13</v>
      </c>
      <c r="C18" s="2"/>
      <c r="D18" s="34">
        <v>7010157</v>
      </c>
      <c r="E18" s="35" t="s">
        <v>79</v>
      </c>
      <c r="F18" s="36" t="s">
        <v>13</v>
      </c>
      <c r="G18" s="37">
        <v>32888</v>
      </c>
      <c r="H18" s="37">
        <v>45492</v>
      </c>
      <c r="I18" s="35" t="s">
        <v>33</v>
      </c>
      <c r="J18" s="35" t="s">
        <v>62</v>
      </c>
      <c r="K18" s="35" t="s">
        <v>80</v>
      </c>
      <c r="L18" s="38">
        <v>8197031830</v>
      </c>
      <c r="M18" s="50" t="s">
        <v>69</v>
      </c>
      <c r="N18" s="19"/>
    </row>
    <row r="19" spans="2:14" x14ac:dyDescent="0.35">
      <c r="B19" s="29"/>
      <c r="C19" s="2"/>
      <c r="D19" s="34">
        <v>16012526</v>
      </c>
      <c r="E19" s="35" t="s">
        <v>81</v>
      </c>
      <c r="F19" s="36" t="s">
        <v>13</v>
      </c>
      <c r="G19" s="37">
        <v>36071</v>
      </c>
      <c r="H19" s="37">
        <v>45496</v>
      </c>
      <c r="I19" s="35" t="s">
        <v>33</v>
      </c>
      <c r="J19" s="35" t="s">
        <v>62</v>
      </c>
      <c r="K19" s="35" t="s">
        <v>82</v>
      </c>
      <c r="L19" s="38" t="s">
        <v>83</v>
      </c>
      <c r="M19" s="39" t="s">
        <v>69</v>
      </c>
      <c r="N19" s="19"/>
    </row>
    <row r="20" spans="2:14" ht="15" thickBot="1" x14ac:dyDescent="0.4">
      <c r="B20" s="30"/>
      <c r="C20" s="2"/>
      <c r="D20" s="51" t="s">
        <v>84</v>
      </c>
      <c r="E20" s="35" t="s">
        <v>85</v>
      </c>
      <c r="F20" s="52" t="s">
        <v>13</v>
      </c>
      <c r="G20" s="37">
        <v>36077</v>
      </c>
      <c r="H20" s="37">
        <v>45469</v>
      </c>
      <c r="I20" s="35" t="s">
        <v>33</v>
      </c>
      <c r="J20" s="35" t="s">
        <v>62</v>
      </c>
      <c r="K20" s="35" t="s">
        <v>86</v>
      </c>
      <c r="L20" s="38">
        <v>8080811819</v>
      </c>
      <c r="M20" s="39" t="s">
        <v>69</v>
      </c>
      <c r="N20" s="19"/>
    </row>
    <row r="21" spans="2:14" x14ac:dyDescent="0.35">
      <c r="B21" s="28">
        <f>SUM(COUNTIF($F$10:$F$15488,"Self"),COUNTIF($F$10:$F$15489,"Employee"),COUNTIF($F$10:$F$15489,"Emp"))</f>
        <v>12</v>
      </c>
      <c r="C21" s="5"/>
      <c r="D21" s="51" t="s">
        <v>87</v>
      </c>
      <c r="E21" s="35" t="s">
        <v>88</v>
      </c>
      <c r="F21" s="53" t="s">
        <v>13</v>
      </c>
      <c r="G21" s="37">
        <v>34707</v>
      </c>
      <c r="H21" s="37">
        <v>45474</v>
      </c>
      <c r="I21" s="35" t="s">
        <v>14</v>
      </c>
      <c r="J21" s="35" t="s">
        <v>62</v>
      </c>
      <c r="K21" s="35" t="s">
        <v>89</v>
      </c>
      <c r="L21" s="38">
        <v>9773976740</v>
      </c>
      <c r="M21" s="39" t="s">
        <v>69</v>
      </c>
      <c r="N21" s="19"/>
    </row>
    <row r="22" spans="2:14" x14ac:dyDescent="0.35">
      <c r="B22" s="28"/>
      <c r="C22" s="2"/>
      <c r="D22" s="51" t="s">
        <v>90</v>
      </c>
      <c r="E22" s="35" t="s">
        <v>91</v>
      </c>
      <c r="F22" s="53" t="s">
        <v>13</v>
      </c>
      <c r="G22" s="37">
        <v>34183</v>
      </c>
      <c r="H22" s="37">
        <v>45488</v>
      </c>
      <c r="I22" s="35" t="s">
        <v>14</v>
      </c>
      <c r="J22" s="35" t="s">
        <v>62</v>
      </c>
      <c r="K22" s="35" t="s">
        <v>92</v>
      </c>
      <c r="L22" s="38">
        <v>7977209319</v>
      </c>
      <c r="M22" s="39">
        <v>45296</v>
      </c>
    </row>
    <row r="23" spans="2:14" x14ac:dyDescent="0.35">
      <c r="B23" s="2"/>
      <c r="C23" s="2"/>
      <c r="D23" s="51" t="s">
        <v>90</v>
      </c>
      <c r="E23" s="35" t="s">
        <v>93</v>
      </c>
      <c r="F23" s="19" t="s">
        <v>66</v>
      </c>
      <c r="G23" s="37">
        <v>33581</v>
      </c>
      <c r="H23" s="37">
        <v>45488</v>
      </c>
      <c r="I23" s="35" t="s">
        <v>33</v>
      </c>
      <c r="J23" s="35" t="s">
        <v>62</v>
      </c>
      <c r="K23" s="35" t="s">
        <v>92</v>
      </c>
      <c r="L23" s="38">
        <v>7977209319</v>
      </c>
      <c r="M23" s="39">
        <v>45296</v>
      </c>
    </row>
    <row r="24" spans="2:14" x14ac:dyDescent="0.35">
      <c r="B24" s="29" t="s">
        <v>21</v>
      </c>
      <c r="C24" s="4"/>
      <c r="D24" s="51" t="s">
        <v>94</v>
      </c>
      <c r="E24" s="35" t="s">
        <v>95</v>
      </c>
      <c r="F24" s="53" t="s">
        <v>13</v>
      </c>
      <c r="G24" s="37">
        <v>27565</v>
      </c>
      <c r="H24" s="37">
        <v>45474</v>
      </c>
      <c r="I24" s="35" t="s">
        <v>33</v>
      </c>
      <c r="J24" s="35" t="s">
        <v>62</v>
      </c>
      <c r="K24" s="35" t="s">
        <v>96</v>
      </c>
      <c r="L24" s="38">
        <v>9177906777</v>
      </c>
      <c r="M24" s="39">
        <v>39969</v>
      </c>
    </row>
    <row r="25" spans="2:14" ht="15" thickBot="1" x14ac:dyDescent="0.4">
      <c r="B25" s="30"/>
      <c r="C25" s="2"/>
      <c r="D25" s="51" t="s">
        <v>94</v>
      </c>
      <c r="E25" s="35" t="s">
        <v>97</v>
      </c>
      <c r="F25" s="19" t="s">
        <v>66</v>
      </c>
      <c r="G25" s="37">
        <v>64603</v>
      </c>
      <c r="H25" s="37">
        <v>45474</v>
      </c>
      <c r="I25" s="35" t="s">
        <v>14</v>
      </c>
      <c r="J25" s="35" t="s">
        <v>62</v>
      </c>
      <c r="K25" s="35" t="s">
        <v>96</v>
      </c>
      <c r="L25" s="38">
        <v>9177906777</v>
      </c>
      <c r="M25" s="39">
        <v>39969</v>
      </c>
    </row>
    <row r="26" spans="2:14" x14ac:dyDescent="0.35">
      <c r="B26" s="28">
        <f>SUM(COUNTIF($F$10:$F$15489,"Spouse"),COUNTIF($F$10:$F$15489,"Wife"),COUNTIF($F$10:$F$15489,"Husband"))</f>
        <v>0</v>
      </c>
      <c r="C26" s="7"/>
      <c r="D26" s="54" t="s">
        <v>98</v>
      </c>
      <c r="E26" s="35" t="s">
        <v>99</v>
      </c>
      <c r="F26" s="55" t="s">
        <v>13</v>
      </c>
      <c r="G26" s="37">
        <v>37271</v>
      </c>
      <c r="H26" s="37">
        <v>45496</v>
      </c>
      <c r="I26" s="35" t="s">
        <v>33</v>
      </c>
      <c r="J26" s="35" t="s">
        <v>62</v>
      </c>
      <c r="K26" s="35" t="s">
        <v>100</v>
      </c>
      <c r="L26" s="38">
        <v>9569964719</v>
      </c>
      <c r="M26" s="42" t="s">
        <v>69</v>
      </c>
    </row>
    <row r="27" spans="2:14" x14ac:dyDescent="0.35">
      <c r="B27" s="28"/>
      <c r="C27" s="2"/>
      <c r="D27" s="15"/>
      <c r="G27" s="14"/>
      <c r="H27" s="14"/>
      <c r="I27" s="15"/>
      <c r="J27" s="15"/>
      <c r="K27" s="12"/>
      <c r="M27" s="7"/>
    </row>
    <row r="28" spans="2:14" x14ac:dyDescent="0.35">
      <c r="B28" s="2"/>
      <c r="C28" s="2"/>
      <c r="M28" s="7"/>
    </row>
    <row r="29" spans="2:14" x14ac:dyDescent="0.35">
      <c r="B29" s="29" t="s">
        <v>22</v>
      </c>
      <c r="C29" s="2"/>
      <c r="M29" s="7"/>
    </row>
    <row r="30" spans="2:14" ht="15" thickBot="1" x14ac:dyDescent="0.4">
      <c r="B30" s="30"/>
      <c r="C30" s="5"/>
      <c r="M30" s="7"/>
    </row>
    <row r="31" spans="2:14" x14ac:dyDescent="0.35">
      <c r="B31" s="28">
        <f>SUM(COUNTIF($F$10:$F$15489,"Children"),COUNTIF($F$10:$F$15489,"Child"),COUNTIF($F$10:$F$15489,"Son"),COUNTIF($F$10:$F$15489,"Daughter"))</f>
        <v>1</v>
      </c>
      <c r="C31" s="2"/>
      <c r="G31" s="13"/>
      <c r="M31" s="7"/>
    </row>
    <row r="32" spans="2:14" x14ac:dyDescent="0.35">
      <c r="B32" s="28"/>
      <c r="C32" s="6"/>
      <c r="G32" s="13"/>
      <c r="M32" s="7"/>
    </row>
    <row r="33" spans="2:13" x14ac:dyDescent="0.35">
      <c r="B33" s="2"/>
      <c r="C33" s="4"/>
      <c r="G33" s="13"/>
      <c r="M33" s="7"/>
    </row>
    <row r="34" spans="2:13" x14ac:dyDescent="0.35">
      <c r="B34" s="29" t="s">
        <v>23</v>
      </c>
      <c r="C34" s="2"/>
      <c r="G34" s="13"/>
      <c r="M34" s="7"/>
    </row>
    <row r="35" spans="2:13" ht="15" thickBot="1" x14ac:dyDescent="0.4">
      <c r="B35" s="30"/>
      <c r="C35" s="2"/>
      <c r="G35" s="13"/>
      <c r="M35" s="7"/>
    </row>
    <row r="36" spans="2:13" x14ac:dyDescent="0.35">
      <c r="B36" s="28">
        <f>SUM(COUNTIF($F$10:$F$15489,"Parent"),COUNTIF($F$10:$F$15489,"Father"),COUNTIF($F$10:$F$15489,"Mother"))</f>
        <v>0</v>
      </c>
      <c r="G36" s="13"/>
      <c r="M36" s="7"/>
    </row>
    <row r="37" spans="2:13" x14ac:dyDescent="0.35">
      <c r="B37" s="28"/>
      <c r="G37" s="13"/>
      <c r="M37" s="7"/>
    </row>
    <row r="38" spans="2:13" x14ac:dyDescent="0.35">
      <c r="B38" s="2"/>
      <c r="G38" s="13"/>
      <c r="M38" s="7"/>
    </row>
    <row r="39" spans="2:13" x14ac:dyDescent="0.35">
      <c r="B39" s="29" t="s">
        <v>24</v>
      </c>
      <c r="G39" s="13"/>
      <c r="M39" s="7"/>
    </row>
    <row r="40" spans="2:13" ht="15" thickBot="1" x14ac:dyDescent="0.4">
      <c r="B40" s="30"/>
      <c r="G40" s="13"/>
      <c r="M40" s="7"/>
    </row>
    <row r="41" spans="2:13" x14ac:dyDescent="0.35">
      <c r="B41" s="28">
        <f>SUM(COUNTIF($F$10:$F$15489,"Parent-In-Law"),COUNTIF($F$10:$F$15489,"Parent In Law"),COUNTIF($F$10:$F$15489,"Father-In-Law"),COUNTIF($F$10:$F$15489,"Father In Law"),COUNTIF($F$10:$F$15489,"Mother-In-Law"),COUNTIF($F$10:$F$15489,"Mother In Law"),COUNTIF($F$10:$F$15489,"Parent_In_Law"),COUNTIF($F$10:$F$15489,"Father_In_Law"),COUNTIF($F$10:$F$15489,"Mother_In_Law"))</f>
        <v>0</v>
      </c>
      <c r="G41" s="13"/>
      <c r="M41" s="7"/>
    </row>
    <row r="42" spans="2:13" x14ac:dyDescent="0.35">
      <c r="B42" s="28"/>
      <c r="G42" s="13"/>
      <c r="M42" s="7"/>
    </row>
    <row r="43" spans="2:13" x14ac:dyDescent="0.35">
      <c r="B43" s="8"/>
      <c r="M43" s="7"/>
    </row>
    <row r="44" spans="2:13" x14ac:dyDescent="0.35">
      <c r="B44" s="8"/>
      <c r="M44" s="7"/>
    </row>
    <row r="45" spans="2:13" x14ac:dyDescent="0.35">
      <c r="B45" s="8"/>
      <c r="M45" s="7"/>
    </row>
    <row r="46" spans="2:13" x14ac:dyDescent="0.35">
      <c r="B46" s="8"/>
      <c r="M46" s="7"/>
    </row>
    <row r="47" spans="2:13" x14ac:dyDescent="0.35">
      <c r="B47" s="8"/>
      <c r="M47" s="7"/>
    </row>
    <row r="48" spans="2:13" x14ac:dyDescent="0.35">
      <c r="B48" s="8"/>
      <c r="M48" s="7"/>
    </row>
    <row r="49" spans="2:13" x14ac:dyDescent="0.35">
      <c r="B49" s="8"/>
      <c r="M49" s="7"/>
    </row>
    <row r="50" spans="2:13" x14ac:dyDescent="0.35">
      <c r="B50" s="8"/>
      <c r="M50" s="7"/>
    </row>
    <row r="51" spans="2:13" x14ac:dyDescent="0.35">
      <c r="B51" s="8"/>
      <c r="M51" s="7"/>
    </row>
    <row r="52" spans="2:13" x14ac:dyDescent="0.35">
      <c r="B52" s="8"/>
      <c r="M52" s="7"/>
    </row>
    <row r="53" spans="2:13" x14ac:dyDescent="0.35">
      <c r="B53" s="8"/>
      <c r="M53" s="7"/>
    </row>
    <row r="54" spans="2:13" x14ac:dyDescent="0.35">
      <c r="B54" s="8"/>
      <c r="M54" s="7"/>
    </row>
    <row r="55" spans="2:13" x14ac:dyDescent="0.35">
      <c r="M55" s="7"/>
    </row>
    <row r="56" spans="2:13" x14ac:dyDescent="0.35">
      <c r="M56" s="7"/>
    </row>
    <row r="57" spans="2:13" x14ac:dyDescent="0.35">
      <c r="M57" s="7"/>
    </row>
    <row r="58" spans="2:13" x14ac:dyDescent="0.35">
      <c r="M58" s="7"/>
    </row>
    <row r="59" spans="2:13" x14ac:dyDescent="0.35">
      <c r="M59" s="7"/>
    </row>
    <row r="60" spans="2:13" x14ac:dyDescent="0.35">
      <c r="M60" s="7"/>
    </row>
    <row r="61" spans="2:13" x14ac:dyDescent="0.35">
      <c r="M61" s="7"/>
    </row>
    <row r="62" spans="2:13" x14ac:dyDescent="0.35">
      <c r="M62" s="7"/>
    </row>
    <row r="63" spans="2:13" x14ac:dyDescent="0.35">
      <c r="M63" s="7"/>
    </row>
    <row r="64" spans="2:13" x14ac:dyDescent="0.35">
      <c r="M64" s="7"/>
    </row>
    <row r="65" spans="13:13" x14ac:dyDescent="0.35">
      <c r="M65" s="7"/>
    </row>
    <row r="66" spans="13:13" x14ac:dyDescent="0.35">
      <c r="M66" s="7"/>
    </row>
    <row r="67" spans="13:13" x14ac:dyDescent="0.35">
      <c r="M67" s="7"/>
    </row>
    <row r="68" spans="13:13" x14ac:dyDescent="0.35">
      <c r="M68" s="7"/>
    </row>
    <row r="69" spans="13:13" x14ac:dyDescent="0.35">
      <c r="M69" s="7"/>
    </row>
    <row r="70" spans="13:13" x14ac:dyDescent="0.35">
      <c r="M70" s="7"/>
    </row>
    <row r="71" spans="13:13" x14ac:dyDescent="0.35">
      <c r="M71" s="7"/>
    </row>
    <row r="72" spans="13:13" x14ac:dyDescent="0.35">
      <c r="M72" s="7"/>
    </row>
    <row r="73" spans="13:13" x14ac:dyDescent="0.35">
      <c r="M73" s="7"/>
    </row>
    <row r="74" spans="13:13" x14ac:dyDescent="0.35">
      <c r="M74" s="7"/>
    </row>
    <row r="75" spans="13:13" x14ac:dyDescent="0.35">
      <c r="M75" s="7"/>
    </row>
    <row r="76" spans="13:13" x14ac:dyDescent="0.35">
      <c r="M76" s="7"/>
    </row>
    <row r="77" spans="13:13" x14ac:dyDescent="0.35">
      <c r="M77" s="7"/>
    </row>
    <row r="78" spans="13:13" x14ac:dyDescent="0.35">
      <c r="M78" s="7"/>
    </row>
    <row r="79" spans="13:13" x14ac:dyDescent="0.35">
      <c r="M79" s="7"/>
    </row>
    <row r="80" spans="13:13" x14ac:dyDescent="0.35">
      <c r="M80" s="7"/>
    </row>
    <row r="81" spans="13:13" x14ac:dyDescent="0.35">
      <c r="M81" s="7"/>
    </row>
    <row r="82" spans="13:13" x14ac:dyDescent="0.35">
      <c r="M82" s="7"/>
    </row>
    <row r="83" spans="13:13" x14ac:dyDescent="0.35">
      <c r="M83" s="7"/>
    </row>
    <row r="84" spans="13:13" x14ac:dyDescent="0.35">
      <c r="M84" s="7"/>
    </row>
    <row r="85" spans="13:13" x14ac:dyDescent="0.35">
      <c r="M85" s="7"/>
    </row>
    <row r="86" spans="13:13" x14ac:dyDescent="0.35">
      <c r="M86" s="7"/>
    </row>
    <row r="87" spans="13:13" x14ac:dyDescent="0.35">
      <c r="M87" s="7"/>
    </row>
    <row r="88" spans="13:13" x14ac:dyDescent="0.35">
      <c r="M88" s="7"/>
    </row>
    <row r="89" spans="13:13" x14ac:dyDescent="0.35">
      <c r="M89" s="7"/>
    </row>
    <row r="90" spans="13:13" x14ac:dyDescent="0.35">
      <c r="M90" s="7"/>
    </row>
    <row r="91" spans="13:13" x14ac:dyDescent="0.35">
      <c r="M91" s="7"/>
    </row>
    <row r="92" spans="13:13" x14ac:dyDescent="0.35">
      <c r="M92" s="7"/>
    </row>
    <row r="93" spans="13:13" x14ac:dyDescent="0.35">
      <c r="M93" s="7"/>
    </row>
    <row r="94" spans="13:13" x14ac:dyDescent="0.35">
      <c r="M94" s="7"/>
    </row>
    <row r="95" spans="13:13" x14ac:dyDescent="0.35">
      <c r="M95" s="7"/>
    </row>
    <row r="96" spans="13:13" x14ac:dyDescent="0.35">
      <c r="M96" s="7"/>
    </row>
    <row r="97" spans="13:13" x14ac:dyDescent="0.35">
      <c r="M97" s="7"/>
    </row>
    <row r="98" spans="13:13" x14ac:dyDescent="0.35">
      <c r="M98" s="7"/>
    </row>
    <row r="99" spans="13:13" x14ac:dyDescent="0.35">
      <c r="M99" s="7"/>
    </row>
    <row r="100" spans="13:13" x14ac:dyDescent="0.35">
      <c r="M100" s="7"/>
    </row>
    <row r="101" spans="13:13" x14ac:dyDescent="0.35">
      <c r="M101" s="7"/>
    </row>
    <row r="102" spans="13:13" x14ac:dyDescent="0.35">
      <c r="M102" s="7"/>
    </row>
    <row r="103" spans="13:13" x14ac:dyDescent="0.35">
      <c r="M103" s="7"/>
    </row>
    <row r="104" spans="13:13" x14ac:dyDescent="0.35">
      <c r="M104" s="7"/>
    </row>
    <row r="105" spans="13:13" x14ac:dyDescent="0.35">
      <c r="M105" s="7"/>
    </row>
    <row r="106" spans="13:13" x14ac:dyDescent="0.35">
      <c r="M106" s="7"/>
    </row>
    <row r="107" spans="13:13" x14ac:dyDescent="0.35">
      <c r="M107" s="7"/>
    </row>
    <row r="108" spans="13:13" x14ac:dyDescent="0.35">
      <c r="M108" s="7"/>
    </row>
    <row r="109" spans="13:13" x14ac:dyDescent="0.35">
      <c r="M109" s="7"/>
    </row>
    <row r="110" spans="13:13" x14ac:dyDescent="0.35">
      <c r="M110" s="7"/>
    </row>
    <row r="111" spans="13:13" x14ac:dyDescent="0.35">
      <c r="M111" s="7"/>
    </row>
    <row r="112" spans="13:13" x14ac:dyDescent="0.35">
      <c r="M112" s="7"/>
    </row>
    <row r="113" spans="13:13" x14ac:dyDescent="0.35">
      <c r="M113" s="7"/>
    </row>
    <row r="114" spans="13:13" x14ac:dyDescent="0.35">
      <c r="M114" s="7"/>
    </row>
    <row r="115" spans="13:13" x14ac:dyDescent="0.35">
      <c r="M115" s="7"/>
    </row>
    <row r="116" spans="13:13" x14ac:dyDescent="0.35">
      <c r="M116" s="7"/>
    </row>
    <row r="117" spans="13:13" x14ac:dyDescent="0.35">
      <c r="M117" s="7"/>
    </row>
    <row r="118" spans="13:13" x14ac:dyDescent="0.35">
      <c r="M118" s="7"/>
    </row>
    <row r="119" spans="13:13" x14ac:dyDescent="0.35">
      <c r="M119" s="7"/>
    </row>
    <row r="120" spans="13:13" x14ac:dyDescent="0.35">
      <c r="M120" s="7"/>
    </row>
    <row r="121" spans="13:13" x14ac:dyDescent="0.35">
      <c r="M121" s="7"/>
    </row>
    <row r="122" spans="13:13" x14ac:dyDescent="0.35">
      <c r="M122" s="7"/>
    </row>
    <row r="123" spans="13:13" x14ac:dyDescent="0.35">
      <c r="M123" s="7"/>
    </row>
    <row r="124" spans="13:13" x14ac:dyDescent="0.35">
      <c r="M124" s="7"/>
    </row>
    <row r="125" spans="13:13" x14ac:dyDescent="0.35">
      <c r="M125" s="7"/>
    </row>
    <row r="126" spans="13:13" x14ac:dyDescent="0.35">
      <c r="M126" s="7"/>
    </row>
    <row r="127" spans="13:13" x14ac:dyDescent="0.35">
      <c r="M127" s="7"/>
    </row>
    <row r="128" spans="13:13" x14ac:dyDescent="0.35">
      <c r="M128" s="7"/>
    </row>
    <row r="129" spans="13:13" x14ac:dyDescent="0.35">
      <c r="M129" s="7"/>
    </row>
    <row r="130" spans="13:13" x14ac:dyDescent="0.35">
      <c r="M130" s="7"/>
    </row>
    <row r="131" spans="13:13" x14ac:dyDescent="0.35">
      <c r="M131" s="7"/>
    </row>
    <row r="132" spans="13:13" x14ac:dyDescent="0.35">
      <c r="M132" s="7"/>
    </row>
    <row r="133" spans="13:13" x14ac:dyDescent="0.35">
      <c r="M133" s="7"/>
    </row>
    <row r="134" spans="13:13" x14ac:dyDescent="0.35">
      <c r="M134" s="7"/>
    </row>
    <row r="135" spans="13:13" x14ac:dyDescent="0.35">
      <c r="M135" s="7"/>
    </row>
    <row r="136" spans="13:13" x14ac:dyDescent="0.35">
      <c r="M136" s="7"/>
    </row>
    <row r="137" spans="13:13" x14ac:dyDescent="0.35">
      <c r="M137" s="7"/>
    </row>
    <row r="138" spans="13:13" x14ac:dyDescent="0.35">
      <c r="M138" s="7"/>
    </row>
    <row r="139" spans="13:13" x14ac:dyDescent="0.35">
      <c r="M139" s="7"/>
    </row>
    <row r="140" spans="13:13" x14ac:dyDescent="0.35">
      <c r="M140" s="7"/>
    </row>
    <row r="141" spans="13:13" x14ac:dyDescent="0.35">
      <c r="M141" s="7"/>
    </row>
    <row r="142" spans="13:13" x14ac:dyDescent="0.35">
      <c r="M142" s="7"/>
    </row>
    <row r="143" spans="13:13" x14ac:dyDescent="0.35">
      <c r="M143" s="7"/>
    </row>
    <row r="144" spans="13:13" x14ac:dyDescent="0.35">
      <c r="M144" s="7"/>
    </row>
    <row r="145" spans="13:13" x14ac:dyDescent="0.35">
      <c r="M145" s="7"/>
    </row>
    <row r="146" spans="13:13" x14ac:dyDescent="0.35">
      <c r="M146" s="7"/>
    </row>
    <row r="147" spans="13:13" x14ac:dyDescent="0.35">
      <c r="M147" s="7"/>
    </row>
    <row r="148" spans="13:13" x14ac:dyDescent="0.35">
      <c r="M148" s="7"/>
    </row>
    <row r="149" spans="13:13" x14ac:dyDescent="0.35">
      <c r="M149" s="7"/>
    </row>
    <row r="150" spans="13:13" x14ac:dyDescent="0.35">
      <c r="M150" s="7"/>
    </row>
    <row r="151" spans="13:13" x14ac:dyDescent="0.35">
      <c r="M151" s="7"/>
    </row>
    <row r="152" spans="13:13" x14ac:dyDescent="0.35">
      <c r="M152" s="7"/>
    </row>
    <row r="153" spans="13:13" x14ac:dyDescent="0.35">
      <c r="M153" s="7"/>
    </row>
    <row r="154" spans="13:13" x14ac:dyDescent="0.35">
      <c r="M154" s="7"/>
    </row>
    <row r="155" spans="13:13" x14ac:dyDescent="0.35">
      <c r="M155" s="7"/>
    </row>
    <row r="156" spans="13:13" x14ac:dyDescent="0.35">
      <c r="M156" s="7"/>
    </row>
    <row r="157" spans="13:13" x14ac:dyDescent="0.35">
      <c r="M157" s="7"/>
    </row>
    <row r="158" spans="13:13" x14ac:dyDescent="0.35">
      <c r="M158" s="7"/>
    </row>
    <row r="159" spans="13:13" x14ac:dyDescent="0.35">
      <c r="M159" s="7"/>
    </row>
  </sheetData>
  <sortState ref="D10:L159">
    <sortCondition ref="D9:D159"/>
    <sortCondition ref="F9:F159" customList="Self,Wife,Husband,Spouse,Son,Daughter,Father,Mother,Father-In-Law,Mother-In-Law,Brother,Sister,Friend"/>
  </sortState>
  <mergeCells count="14">
    <mergeCell ref="D1:M1"/>
    <mergeCell ref="B41:B42"/>
    <mergeCell ref="B29:B30"/>
    <mergeCell ref="B31:B32"/>
    <mergeCell ref="B34:B35"/>
    <mergeCell ref="B36:B37"/>
    <mergeCell ref="B39:B40"/>
    <mergeCell ref="B18:B20"/>
    <mergeCell ref="B21:B22"/>
    <mergeCell ref="B24:B25"/>
    <mergeCell ref="B26:B27"/>
    <mergeCell ref="D2:L8"/>
    <mergeCell ref="B9:B10"/>
    <mergeCell ref="B12:B15"/>
  </mergeCells>
  <conditionalFormatting sqref="G9">
    <cfRule type="expression" dxfId="68" priority="316" stopIfTrue="1">
      <formula>IF(AND(LOWER(D9)="son",LOWER(G9)="female"),TRUE,FALSE)</formula>
    </cfRule>
    <cfRule type="expression" dxfId="67" priority="317" stopIfTrue="1">
      <formula>IF(AND(LOWER(D9)="daughter",LOWER(G9)="male"),TRUE,FALSE)</formula>
    </cfRule>
    <cfRule type="expression" dxfId="66" priority="318" stopIfTrue="1">
      <formula>IF(AND(LOWER(D9)="husband",LOWER(G9)="female"),TRUE,FALSE)</formula>
    </cfRule>
    <cfRule type="expression" dxfId="65" priority="319" stopIfTrue="1">
      <formula>IF(AND(LOWER(D9)="wife",LOWER(G9)="male"),TRUE,FALSE)</formula>
    </cfRule>
    <cfRule type="expression" dxfId="64" priority="320" stopIfTrue="1">
      <formula>IF(AND(LOWER(D9)="father",LOWER(G9)="female"),TRUE,FALSE)</formula>
    </cfRule>
    <cfRule type="expression" dxfId="63" priority="321" stopIfTrue="1">
      <formula>IF(AND(LOWER(D9)="mother",LOWER(G9)="male"),TRUE,FALSE)</formula>
    </cfRule>
  </conditionalFormatting>
  <conditionalFormatting sqref="L9:N9">
    <cfRule type="expression" dxfId="62" priority="399" stopIfTrue="1">
      <formula>AND(NOT(ISBLANK($L17)),NOT(ISNUMBER($L17)))</formula>
    </cfRule>
    <cfRule type="expression" dxfId="61" priority="400" stopIfTrue="1">
      <formula>AND(NOT(ISBLANK($L17)),NOT(LEN($L17)))</formula>
    </cfRule>
  </conditionalFormatting>
  <conditionalFormatting sqref="M881:AGO884">
    <cfRule type="expression" dxfId="60" priority="419" stopIfTrue="1">
      <formula>COUNTIF(V875:V881,V881)&gt;1</formula>
    </cfRule>
  </conditionalFormatting>
  <conditionalFormatting sqref="M156:AGH880">
    <cfRule type="expression" dxfId="59" priority="420" stopIfTrue="1">
      <formula>COUNTIF(W150:W156,V156)&gt;1</formula>
    </cfRule>
  </conditionalFormatting>
  <conditionalFormatting sqref="M36:AFY155 M33:AFY34 M27:AFY31 N10:AFY11 N13:AFY13 N26:AFY26">
    <cfRule type="expression" dxfId="58" priority="462" stopIfTrue="1">
      <formula>COUNTIF(X4:X10,V10)&gt;1</formula>
    </cfRule>
  </conditionalFormatting>
  <conditionalFormatting sqref="M32:AFW32 M35:P35 R35:AFW35">
    <cfRule type="expression" dxfId="57" priority="488" stopIfTrue="1">
      <formula>COUNTIF(Z26:Z32,V32)&gt;1</formula>
    </cfRule>
  </conditionalFormatting>
  <conditionalFormatting sqref="H9">
    <cfRule type="expression" dxfId="56" priority="558" stopIfTrue="1">
      <formula>IF(H9&lt;MEDIAN(H3:H9)*0.1,TRUE,FALSE)</formula>
    </cfRule>
  </conditionalFormatting>
  <conditionalFormatting sqref="Q35">
    <cfRule type="expression" dxfId="55" priority="4" stopIfTrue="1">
      <formula>COUNTIF(AB29:AB35,Z35)&gt;1</formula>
    </cfRule>
  </conditionalFormatting>
  <conditionalFormatting sqref="N23:AFY23">
    <cfRule type="expression" dxfId="54" priority="627" stopIfTrue="1">
      <formula>COUNTIF(Y15:Y23,W23)&gt;1</formula>
    </cfRule>
  </conditionalFormatting>
  <conditionalFormatting sqref="N24:AFY25 N14:AFY14 N12:AFY12 N12:N14">
    <cfRule type="expression" dxfId="53" priority="632" stopIfTrue="1">
      <formula>COUNTIF(Y5:Y12,W12)&gt;1</formula>
    </cfRule>
  </conditionalFormatting>
  <conditionalFormatting sqref="N15:T16 V15:AFY16">
    <cfRule type="expression" dxfId="52" priority="724" stopIfTrue="1">
      <formula>COUNTIF(Y6:Y15,W15)&gt;1</formula>
    </cfRule>
  </conditionalFormatting>
  <conditionalFormatting sqref="N17:T17 V17:AFY17 N18:AFY19 N22:AFY22">
    <cfRule type="expression" dxfId="51" priority="757" stopIfTrue="1">
      <formula>COUNTIF(Y7:Y17,W17)&gt;1</formula>
    </cfRule>
  </conditionalFormatting>
  <conditionalFormatting sqref="D9:E9">
    <cfRule type="expression" dxfId="50" priority="787" stopIfTrue="1">
      <formula>IF(INDEX($F9:$F15497,MATCH(1,($A9:$A15493=$A9)*($D9:$D15497="Parent"),0))&lt;INDEX($F9:$F15497,MATCH(1,($A9:$A15493=$A9)*($D9:$D15497="Self"),0)),TRUE,FALSE)</formula>
    </cfRule>
    <cfRule type="expression" dxfId="49" priority="788" stopIfTrue="1">
      <formula>IF(INDEX($F9:$F15497,MATCH(1,($A9:$A15493=$A9)*($D9:$D15497="Father"),0))&lt;INDEX($F9:$F15497,MATCH(1,($A9:$A15493=$A9)*($D9:$D15497="Self"),0)),TRUE,FALSE)</formula>
    </cfRule>
    <cfRule type="expression" dxfId="48" priority="789" stopIfTrue="1">
      <formula>IF(INDEX($F9:$F15497,MATCH(1,($A9:$A15493=$A9)*($D9:$D15497="Mother"),0))&lt;INDEX($F9:$F15497,MATCH(1,($A9:$A15493=$A9)*($D9:$D15497="Self"),0)),TRUE,FALSE)</formula>
    </cfRule>
    <cfRule type="expression" dxfId="47" priority="790" stopIfTrue="1">
      <formula>IF(INDEX($F9:$F15497,MATCH(1,($A9:$A15493=$A9)*($D9:$D15497="Child"),0))&gt;INDEX($F9:$F15497,MATCH(1,($A9:$A15493=$A9)*($D9:$D15497="Self"),0)),TRUE,FALSE)</formula>
    </cfRule>
    <cfRule type="expression" dxfId="46" priority="791" stopIfTrue="1">
      <formula>IF(INDEX($F9:$F15497,MATCH(1,($A9:$A15493=$A9)*($D9:$D15497="Son"),0))&gt;INDEX($F9:$F15497,MATCH(1,($A9:$A15493=$A9)*($D9:$D15497="Self"),0)),TRUE,FALSE)</formula>
    </cfRule>
    <cfRule type="expression" dxfId="45" priority="792" stopIfTrue="1">
      <formula>IF(INDEX($F9:$F15497,MATCH(1,($A9:$A15493=$A9)*($D9:$D15497="Daughter"),0))&gt;INDEX($F9:$F15497,MATCH(1,($A9:$A15493=$A9)*($D9:$D15497="Self"),0)),TRUE,FALSE)</formula>
    </cfRule>
  </conditionalFormatting>
  <conditionalFormatting sqref="L9:N9">
    <cfRule type="expression" dxfId="44" priority="793" stopIfTrue="1">
      <formula>COUNTIF(L3:L17,L17)&gt;1</formula>
    </cfRule>
  </conditionalFormatting>
  <conditionalFormatting sqref="N20:AFY21">
    <cfRule type="expression" dxfId="43" priority="796" stopIfTrue="1">
      <formula>COUNTIF(Y9:Y20,W20)&gt;1</formula>
    </cfRule>
  </conditionalFormatting>
  <dataValidations disablePrompts="1" count="1">
    <dataValidation type="list" allowBlank="1" showInputMessage="1" showErrorMessage="1" sqref="O1">
      <formula1>$D$10:$D$159</formula1>
    </dataValidation>
  </dataValidations>
  <hyperlinks>
    <hyperlink ref="K12" r:id="rId1" display="mailto:Kommana.R@mountmerugroup.com"/>
    <hyperlink ref="K13" r:id="rId2" display="mailto:Ujjwal.K@mountmerugroup.com"/>
    <hyperlink ref="K17" r:id="rId3" display="mailto:Shubham.M@mountmerugroup.com"/>
    <hyperlink ref="K18" r:id="rId4" display="mailto:Manish.T@mountmerugroup.com"/>
    <hyperlink ref="K19" r:id="rId5" display="mailto:Alfaz.M@mountmerugroup.com"/>
    <hyperlink ref="K22" r:id="rId6" display="mailto:Prachi.P@mountmerugroup.com"/>
    <hyperlink ref="K23" r:id="rId7" display="mailto:Prachi.P@mountmerugroup.com"/>
    <hyperlink ref="K26" r:id="rId8" display="mailto:Vishvas.M@mountmerugroup.com"/>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O157"/>
  <sheetViews>
    <sheetView showGridLines="0" tabSelected="1" topLeftCell="A9" zoomScale="80" zoomScaleNormal="80" workbookViewId="0">
      <selection activeCell="H10" sqref="H10:H22"/>
    </sheetView>
  </sheetViews>
  <sheetFormatPr defaultColWidth="8.81640625" defaultRowHeight="14.5" x14ac:dyDescent="0.35"/>
  <cols>
    <col min="1" max="1" width="3.7265625" customWidth="1"/>
    <col min="2" max="2" width="27.453125" customWidth="1"/>
    <col min="3" max="3" width="3.7265625" customWidth="1"/>
    <col min="4" max="4" width="13.26953125" customWidth="1"/>
    <col min="5" max="5" width="35.453125" bestFit="1" customWidth="1"/>
    <col min="6" max="6" width="11.453125" customWidth="1"/>
    <col min="7" max="7" width="15.26953125" customWidth="1"/>
    <col min="8" max="8" width="30.7265625" customWidth="1"/>
    <col min="9" max="9" width="10.1796875" customWidth="1"/>
    <col min="10" max="10" width="17.26953125" customWidth="1"/>
    <col min="11" max="11" width="38.453125" bestFit="1" customWidth="1"/>
    <col min="12" max="12" width="19" customWidth="1"/>
    <col min="13" max="13" width="17.81640625" customWidth="1"/>
    <col min="14" max="14" width="10.453125" customWidth="1"/>
    <col min="17" max="17" width="17.453125" customWidth="1"/>
    <col min="18" max="18" width="18.81640625" bestFit="1" customWidth="1"/>
    <col min="19" max="19" width="11.81640625" customWidth="1"/>
  </cols>
  <sheetData>
    <row r="1" spans="2:15" ht="23.25" customHeight="1" x14ac:dyDescent="0.35">
      <c r="C1" s="9"/>
      <c r="D1" s="27" t="s">
        <v>0</v>
      </c>
      <c r="E1" s="27"/>
      <c r="F1" s="27"/>
      <c r="G1" s="27"/>
      <c r="H1" s="27"/>
      <c r="I1" s="27"/>
      <c r="J1" s="27"/>
      <c r="K1" s="27"/>
      <c r="L1" s="27"/>
    </row>
    <row r="2" spans="2:15" ht="23.25" customHeight="1" x14ac:dyDescent="0.4">
      <c r="D2" s="31" t="s">
        <v>1</v>
      </c>
      <c r="E2" s="32"/>
      <c r="F2" s="32"/>
      <c r="G2" s="32"/>
      <c r="H2" s="32"/>
      <c r="I2" s="32"/>
      <c r="J2" s="32"/>
      <c r="K2" s="32"/>
      <c r="L2" s="32"/>
      <c r="O2" s="3"/>
    </row>
    <row r="3" spans="2:15" ht="23.25" customHeight="1" x14ac:dyDescent="0.4">
      <c r="D3" s="32"/>
      <c r="E3" s="32"/>
      <c r="F3" s="32"/>
      <c r="G3" s="32"/>
      <c r="H3" s="32"/>
      <c r="I3" s="32"/>
      <c r="J3" s="32"/>
      <c r="K3" s="32"/>
      <c r="L3" s="32"/>
      <c r="O3" s="3"/>
    </row>
    <row r="4" spans="2:15" ht="23.25" customHeight="1" x14ac:dyDescent="0.35">
      <c r="D4" s="32"/>
      <c r="E4" s="32"/>
      <c r="F4" s="32"/>
      <c r="G4" s="32"/>
      <c r="H4" s="32"/>
      <c r="I4" s="32"/>
      <c r="J4" s="32"/>
      <c r="K4" s="32"/>
      <c r="L4" s="32"/>
    </row>
    <row r="5" spans="2:15" ht="23.25" customHeight="1" x14ac:dyDescent="0.35">
      <c r="D5" s="32"/>
      <c r="E5" s="32"/>
      <c r="F5" s="32"/>
      <c r="G5" s="32"/>
      <c r="H5" s="32"/>
      <c r="I5" s="32"/>
      <c r="J5" s="32"/>
      <c r="K5" s="32"/>
      <c r="L5" s="32"/>
    </row>
    <row r="6" spans="2:15" ht="23.25" customHeight="1" x14ac:dyDescent="0.35">
      <c r="D6" s="32"/>
      <c r="E6" s="32"/>
      <c r="F6" s="32"/>
      <c r="G6" s="32"/>
      <c r="H6" s="32"/>
      <c r="I6" s="32"/>
      <c r="J6" s="32"/>
      <c r="K6" s="32"/>
      <c r="L6" s="32"/>
    </row>
    <row r="7" spans="2:15" ht="23.25" customHeight="1" x14ac:dyDescent="0.35">
      <c r="D7" s="32"/>
      <c r="E7" s="32"/>
      <c r="F7" s="32"/>
      <c r="G7" s="32"/>
      <c r="H7" s="32"/>
      <c r="I7" s="32"/>
      <c r="J7" s="32"/>
      <c r="K7" s="32"/>
      <c r="L7" s="32"/>
    </row>
    <row r="8" spans="2:15" ht="23.25" customHeight="1" x14ac:dyDescent="0.35">
      <c r="D8" s="32"/>
      <c r="E8" s="32"/>
      <c r="F8" s="32"/>
      <c r="G8" s="32"/>
      <c r="H8" s="32"/>
      <c r="I8" s="32"/>
      <c r="J8" s="32"/>
      <c r="K8" s="32"/>
      <c r="L8" s="32"/>
    </row>
    <row r="9" spans="2:15" ht="16.5" x14ac:dyDescent="0.45">
      <c r="B9" s="20" t="s">
        <v>2</v>
      </c>
      <c r="D9" s="10" t="s">
        <v>3</v>
      </c>
      <c r="E9" s="10" t="s">
        <v>4</v>
      </c>
      <c r="F9" s="10" t="s">
        <v>5</v>
      </c>
      <c r="G9" s="10" t="s">
        <v>25</v>
      </c>
      <c r="H9" s="11" t="s">
        <v>26</v>
      </c>
      <c r="N9" s="1"/>
    </row>
    <row r="10" spans="2:15" x14ac:dyDescent="0.35">
      <c r="B10" s="28"/>
      <c r="D10" s="56">
        <v>19010717</v>
      </c>
      <c r="E10" s="22" t="s">
        <v>101</v>
      </c>
      <c r="F10" s="22" t="s">
        <v>13</v>
      </c>
      <c r="G10" s="44">
        <v>45484</v>
      </c>
      <c r="H10" s="21"/>
      <c r="M10" s="7"/>
    </row>
    <row r="11" spans="2:15" x14ac:dyDescent="0.35">
      <c r="B11" s="28"/>
      <c r="D11" s="57" t="s">
        <v>102</v>
      </c>
      <c r="E11" s="22" t="s">
        <v>103</v>
      </c>
      <c r="F11" s="22" t="s">
        <v>13</v>
      </c>
      <c r="G11" s="44">
        <v>45485</v>
      </c>
      <c r="H11" s="21"/>
      <c r="M11" s="7"/>
    </row>
    <row r="12" spans="2:15" x14ac:dyDescent="0.35">
      <c r="B12" s="28"/>
      <c r="D12" s="56">
        <v>4010080</v>
      </c>
      <c r="E12" s="22" t="s">
        <v>104</v>
      </c>
      <c r="F12" s="22" t="s">
        <v>13</v>
      </c>
      <c r="G12" s="44">
        <v>45486</v>
      </c>
      <c r="H12" s="21"/>
      <c r="M12" s="7"/>
    </row>
    <row r="13" spans="2:15" x14ac:dyDescent="0.35">
      <c r="B13" s="28"/>
      <c r="D13" s="51" t="s">
        <v>105</v>
      </c>
      <c r="E13" s="22" t="s">
        <v>106</v>
      </c>
      <c r="F13" s="22" t="s">
        <v>13</v>
      </c>
      <c r="G13" s="44">
        <v>45483</v>
      </c>
      <c r="H13" s="21"/>
      <c r="M13" s="7"/>
    </row>
    <row r="14" spans="2:15" x14ac:dyDescent="0.35">
      <c r="B14" s="28"/>
      <c r="D14" s="56">
        <v>16012513</v>
      </c>
      <c r="E14" s="22" t="s">
        <v>107</v>
      </c>
      <c r="F14" s="22" t="s">
        <v>13</v>
      </c>
      <c r="G14" s="44">
        <v>45489</v>
      </c>
      <c r="H14" s="21"/>
      <c r="M14" s="7"/>
    </row>
    <row r="15" spans="2:15" x14ac:dyDescent="0.35">
      <c r="B15" s="8"/>
      <c r="D15" s="56">
        <v>16012512</v>
      </c>
      <c r="E15" s="22" t="s">
        <v>108</v>
      </c>
      <c r="F15" s="22" t="s">
        <v>13</v>
      </c>
      <c r="G15" s="44">
        <v>45490</v>
      </c>
      <c r="H15" s="21"/>
      <c r="M15" s="7"/>
    </row>
    <row r="16" spans="2:15" x14ac:dyDescent="0.35">
      <c r="B16" s="8"/>
      <c r="D16" s="57" t="s">
        <v>109</v>
      </c>
      <c r="E16" s="22" t="s">
        <v>110</v>
      </c>
      <c r="F16" s="22" t="s">
        <v>13</v>
      </c>
      <c r="G16" s="44">
        <v>45496</v>
      </c>
      <c r="H16" s="21"/>
      <c r="M16" s="7"/>
    </row>
    <row r="17" spans="2:13" x14ac:dyDescent="0.35">
      <c r="B17" s="29" t="s">
        <v>13</v>
      </c>
      <c r="C17" s="2"/>
      <c r="D17" s="57" t="s">
        <v>111</v>
      </c>
      <c r="E17" s="22" t="s">
        <v>112</v>
      </c>
      <c r="F17" s="22" t="s">
        <v>13</v>
      </c>
      <c r="G17" s="44">
        <v>45499</v>
      </c>
      <c r="H17" s="21"/>
      <c r="M17" s="7"/>
    </row>
    <row r="18" spans="2:13" ht="15" thickBot="1" x14ac:dyDescent="0.4">
      <c r="B18" s="30"/>
      <c r="C18" s="2"/>
      <c r="D18" s="56">
        <v>16020053</v>
      </c>
      <c r="E18" s="22" t="s">
        <v>113</v>
      </c>
      <c r="F18" s="22" t="s">
        <v>13</v>
      </c>
      <c r="G18" s="44">
        <v>45516</v>
      </c>
      <c r="H18" s="21"/>
      <c r="M18" s="7"/>
    </row>
    <row r="19" spans="2:13" x14ac:dyDescent="0.35">
      <c r="B19" s="33">
        <f>SUM(COUNTIF($F$10:$F$15486,"Self"),COUNTIF($F$10:$F$15487,"Employee"),COUNTIF($F$10:$F$15487,"Emp"))</f>
        <v>20</v>
      </c>
      <c r="C19" s="5"/>
      <c r="D19" s="56">
        <v>31010289</v>
      </c>
      <c r="E19" s="22" t="s">
        <v>114</v>
      </c>
      <c r="F19" s="22" t="s">
        <v>13</v>
      </c>
      <c r="G19" s="44">
        <v>45424</v>
      </c>
      <c r="H19" s="21"/>
      <c r="M19" s="7"/>
    </row>
    <row r="20" spans="2:13" x14ac:dyDescent="0.35">
      <c r="B20" s="28"/>
      <c r="C20" s="2"/>
      <c r="D20" s="57" t="s">
        <v>115</v>
      </c>
      <c r="E20" s="22" t="s">
        <v>116</v>
      </c>
      <c r="F20" s="22" t="s">
        <v>13</v>
      </c>
      <c r="G20" s="44">
        <v>45507</v>
      </c>
      <c r="H20" s="21"/>
      <c r="M20" s="7"/>
    </row>
    <row r="21" spans="2:13" x14ac:dyDescent="0.35">
      <c r="B21" s="2"/>
      <c r="C21" s="2"/>
      <c r="D21" s="34">
        <v>17000004</v>
      </c>
      <c r="E21" s="18" t="s">
        <v>117</v>
      </c>
      <c r="F21" s="22" t="s">
        <v>13</v>
      </c>
      <c r="G21" s="44">
        <v>45469</v>
      </c>
      <c r="H21" s="21"/>
      <c r="M21" s="7"/>
    </row>
    <row r="22" spans="2:13" x14ac:dyDescent="0.35">
      <c r="B22" s="29" t="s">
        <v>21</v>
      </c>
      <c r="C22" s="4"/>
      <c r="D22" s="34">
        <v>19010730</v>
      </c>
      <c r="E22" s="18" t="s">
        <v>118</v>
      </c>
      <c r="F22" s="22" t="s">
        <v>13</v>
      </c>
      <c r="G22" s="44">
        <v>45507</v>
      </c>
      <c r="H22" s="21"/>
      <c r="M22" s="7"/>
    </row>
    <row r="23" spans="2:13" ht="15" thickBot="1" x14ac:dyDescent="0.4">
      <c r="B23" s="30"/>
      <c r="C23" s="2"/>
      <c r="D23" s="34">
        <v>17000003</v>
      </c>
      <c r="E23" s="18" t="s">
        <v>119</v>
      </c>
      <c r="F23" s="22" t="s">
        <v>13</v>
      </c>
      <c r="G23" s="44">
        <v>45482</v>
      </c>
      <c r="M23" s="7"/>
    </row>
    <row r="24" spans="2:13" x14ac:dyDescent="0.35">
      <c r="B24" s="28">
        <f>SUM(COUNTIF($F$10:$F$15487,"Spouse"),COUNTIF($F$10:$F$15487,"Wife"),COUNTIF($F$10:$F$15487,"Husband"))</f>
        <v>0</v>
      </c>
      <c r="C24" s="7"/>
      <c r="D24" s="34">
        <v>2010183</v>
      </c>
      <c r="E24" s="18" t="s">
        <v>120</v>
      </c>
      <c r="F24" s="22" t="s">
        <v>13</v>
      </c>
      <c r="G24" s="44">
        <v>45496</v>
      </c>
      <c r="M24" s="7"/>
    </row>
    <row r="25" spans="2:13" x14ac:dyDescent="0.35">
      <c r="B25" s="28"/>
      <c r="C25" s="2"/>
      <c r="D25" s="34">
        <v>22010142</v>
      </c>
      <c r="E25" s="18" t="s">
        <v>121</v>
      </c>
      <c r="F25" s="22" t="s">
        <v>13</v>
      </c>
      <c r="G25" s="44">
        <v>45473</v>
      </c>
      <c r="M25" s="7"/>
    </row>
    <row r="26" spans="2:13" x14ac:dyDescent="0.35">
      <c r="B26" s="2"/>
      <c r="C26" s="2"/>
      <c r="D26" s="34">
        <v>22010140</v>
      </c>
      <c r="E26" s="18" t="s">
        <v>122</v>
      </c>
      <c r="F26" s="22" t="s">
        <v>13</v>
      </c>
      <c r="G26" s="44">
        <v>45496</v>
      </c>
      <c r="M26" s="7"/>
    </row>
    <row r="27" spans="2:13" x14ac:dyDescent="0.35">
      <c r="B27" s="29" t="s">
        <v>22</v>
      </c>
      <c r="C27" s="2"/>
      <c r="D27" s="34">
        <v>19010728</v>
      </c>
      <c r="E27" s="18" t="s">
        <v>123</v>
      </c>
      <c r="F27" s="22" t="s">
        <v>13</v>
      </c>
      <c r="G27" s="44">
        <v>45511</v>
      </c>
      <c r="M27" s="7"/>
    </row>
    <row r="28" spans="2:13" ht="15" thickBot="1" x14ac:dyDescent="0.4">
      <c r="B28" s="30"/>
      <c r="C28" s="5"/>
      <c r="D28" s="51" t="s">
        <v>124</v>
      </c>
      <c r="E28" s="18" t="s">
        <v>125</v>
      </c>
      <c r="F28" s="22" t="s">
        <v>13</v>
      </c>
      <c r="G28" s="44">
        <v>45497</v>
      </c>
      <c r="M28" s="7"/>
    </row>
    <row r="29" spans="2:13" x14ac:dyDescent="0.35">
      <c r="B29" s="28">
        <f>SUM(COUNTIF($F$10:$F$15487,"Children"),COUNTIF($F$10:$F$15487,"Child"),COUNTIF($F$10:$F$15487,"Son"),COUNTIF($F$10:$F$15487,"Daughter"))</f>
        <v>0</v>
      </c>
      <c r="C29" s="2"/>
      <c r="D29" s="56">
        <v>9020175</v>
      </c>
      <c r="E29" s="18" t="s">
        <v>126</v>
      </c>
      <c r="F29" s="22" t="s">
        <v>13</v>
      </c>
      <c r="G29" s="39">
        <v>45507</v>
      </c>
      <c r="M29" s="7"/>
    </row>
    <row r="30" spans="2:13" x14ac:dyDescent="0.35">
      <c r="B30" s="28"/>
      <c r="C30" s="6"/>
      <c r="M30" s="7"/>
    </row>
    <row r="31" spans="2:13" x14ac:dyDescent="0.35">
      <c r="B31" s="2"/>
      <c r="C31" s="4"/>
      <c r="M31" s="7"/>
    </row>
    <row r="32" spans="2:13" x14ac:dyDescent="0.35">
      <c r="B32" s="29" t="s">
        <v>23</v>
      </c>
      <c r="C32" s="2"/>
      <c r="M32" s="7"/>
    </row>
    <row r="33" spans="2:13" ht="15" thickBot="1" x14ac:dyDescent="0.4">
      <c r="B33" s="30"/>
      <c r="C33" s="2"/>
      <c r="M33" s="7"/>
    </row>
    <row r="34" spans="2:13" x14ac:dyDescent="0.35">
      <c r="B34" s="28">
        <f>SUM(COUNTIF($F$10:$F$15487,"Parent"),COUNTIF($F$10:$F$15487,"Father"),COUNTIF($F$10:$F$15487,"Mother"))</f>
        <v>0</v>
      </c>
      <c r="M34" s="7"/>
    </row>
    <row r="35" spans="2:13" x14ac:dyDescent="0.35">
      <c r="B35" s="28"/>
      <c r="M35" s="7"/>
    </row>
    <row r="36" spans="2:13" x14ac:dyDescent="0.35">
      <c r="B36" s="2"/>
      <c r="M36" s="7"/>
    </row>
    <row r="37" spans="2:13" x14ac:dyDescent="0.35">
      <c r="B37" s="29" t="s">
        <v>24</v>
      </c>
      <c r="M37" s="7"/>
    </row>
    <row r="38" spans="2:13" ht="15" thickBot="1" x14ac:dyDescent="0.4">
      <c r="B38" s="30"/>
      <c r="M38" s="7"/>
    </row>
    <row r="39" spans="2:13" x14ac:dyDescent="0.35">
      <c r="B39" s="28">
        <f>SUM(COUNTIF($F$10:$F$15487,"Parent-In-Law"),COUNTIF($F$10:$F$15487,"Parent In Law"),COUNTIF($F$10:$F$15487,"Father-In-Law"),COUNTIF($F$10:$F$15487,"Father In Law"),COUNTIF($F$10:$F$15487,"Mother-In-Law"),COUNTIF($F$10:$F$15487,"Mother In Law"),COUNTIF($F$10:$F$15487,"Parent_In_Law"),COUNTIF($F$10:$F$15487,"Father_In_Law"),COUNTIF($F$10:$F$15487,"Mother_In_Law"))</f>
        <v>0</v>
      </c>
      <c r="M39" s="7"/>
    </row>
    <row r="40" spans="2:13" x14ac:dyDescent="0.35">
      <c r="B40" s="28"/>
      <c r="M40" s="7"/>
    </row>
    <row r="41" spans="2:13" x14ac:dyDescent="0.35">
      <c r="B41" s="8"/>
      <c r="M41" s="7"/>
    </row>
    <row r="42" spans="2:13" x14ac:dyDescent="0.35">
      <c r="B42" s="8"/>
      <c r="M42" s="7"/>
    </row>
    <row r="43" spans="2:13" x14ac:dyDescent="0.35">
      <c r="B43" s="8"/>
      <c r="M43" s="7"/>
    </row>
    <row r="44" spans="2:13" x14ac:dyDescent="0.35">
      <c r="B44" s="8"/>
      <c r="M44" s="7"/>
    </row>
    <row r="45" spans="2:13" x14ac:dyDescent="0.35">
      <c r="B45" s="8"/>
      <c r="M45" s="7"/>
    </row>
    <row r="46" spans="2:13" x14ac:dyDescent="0.35">
      <c r="B46" s="8"/>
      <c r="M46" s="7"/>
    </row>
    <row r="47" spans="2:13" x14ac:dyDescent="0.35">
      <c r="B47" s="8"/>
      <c r="M47" s="7"/>
    </row>
    <row r="48" spans="2:13" x14ac:dyDescent="0.35">
      <c r="B48" s="8"/>
      <c r="M48" s="7"/>
    </row>
    <row r="49" spans="2:13" x14ac:dyDescent="0.35">
      <c r="B49" s="8"/>
      <c r="M49" s="7"/>
    </row>
    <row r="50" spans="2:13" x14ac:dyDescent="0.35">
      <c r="B50" s="8"/>
      <c r="M50" s="7"/>
    </row>
    <row r="51" spans="2:13" x14ac:dyDescent="0.35">
      <c r="B51" s="8"/>
      <c r="M51" s="7"/>
    </row>
    <row r="52" spans="2:13" x14ac:dyDescent="0.35">
      <c r="B52" s="8"/>
      <c r="M52" s="7"/>
    </row>
    <row r="53" spans="2:13" x14ac:dyDescent="0.35">
      <c r="M53" s="7"/>
    </row>
    <row r="54" spans="2:13" x14ac:dyDescent="0.35">
      <c r="M54" s="7"/>
    </row>
    <row r="55" spans="2:13" x14ac:dyDescent="0.35">
      <c r="M55" s="7"/>
    </row>
    <row r="56" spans="2:13" x14ac:dyDescent="0.35">
      <c r="M56" s="7"/>
    </row>
    <row r="57" spans="2:13" x14ac:dyDescent="0.35">
      <c r="M57" s="7"/>
    </row>
    <row r="58" spans="2:13" x14ac:dyDescent="0.35">
      <c r="M58" s="7"/>
    </row>
    <row r="59" spans="2:13" x14ac:dyDescent="0.35">
      <c r="M59" s="7"/>
    </row>
    <row r="60" spans="2:13" x14ac:dyDescent="0.35">
      <c r="M60" s="7"/>
    </row>
    <row r="61" spans="2:13" x14ac:dyDescent="0.35">
      <c r="M61" s="7"/>
    </row>
    <row r="62" spans="2:13" x14ac:dyDescent="0.35">
      <c r="M62" s="7"/>
    </row>
    <row r="63" spans="2:13" x14ac:dyDescent="0.35">
      <c r="M63" s="7"/>
    </row>
    <row r="64" spans="2:13" x14ac:dyDescent="0.35">
      <c r="M64" s="7"/>
    </row>
    <row r="65" spans="13:13" x14ac:dyDescent="0.35">
      <c r="M65" s="7"/>
    </row>
    <row r="66" spans="13:13" x14ac:dyDescent="0.35">
      <c r="M66" s="7"/>
    </row>
    <row r="67" spans="13:13" x14ac:dyDescent="0.35">
      <c r="M67" s="7"/>
    </row>
    <row r="68" spans="13:13" x14ac:dyDescent="0.35">
      <c r="M68" s="7"/>
    </row>
    <row r="69" spans="13:13" x14ac:dyDescent="0.35">
      <c r="M69" s="7"/>
    </row>
    <row r="70" spans="13:13" x14ac:dyDescent="0.35">
      <c r="M70" s="7"/>
    </row>
    <row r="71" spans="13:13" x14ac:dyDescent="0.35">
      <c r="M71" s="7"/>
    </row>
    <row r="72" spans="13:13" x14ac:dyDescent="0.35">
      <c r="M72" s="7"/>
    </row>
    <row r="73" spans="13:13" x14ac:dyDescent="0.35">
      <c r="M73" s="7"/>
    </row>
    <row r="74" spans="13:13" x14ac:dyDescent="0.35">
      <c r="M74" s="7"/>
    </row>
    <row r="75" spans="13:13" x14ac:dyDescent="0.35">
      <c r="M75" s="7"/>
    </row>
    <row r="76" spans="13:13" x14ac:dyDescent="0.35">
      <c r="M76" s="7"/>
    </row>
    <row r="77" spans="13:13" x14ac:dyDescent="0.35">
      <c r="M77" s="7"/>
    </row>
    <row r="78" spans="13:13" x14ac:dyDescent="0.35">
      <c r="M78" s="7"/>
    </row>
    <row r="79" spans="13:13" x14ac:dyDescent="0.35">
      <c r="M79" s="7"/>
    </row>
    <row r="80" spans="13:13" x14ac:dyDescent="0.35">
      <c r="M80" s="7"/>
    </row>
    <row r="81" spans="13:13" x14ac:dyDescent="0.35">
      <c r="M81" s="7"/>
    </row>
    <row r="82" spans="13:13" x14ac:dyDescent="0.35">
      <c r="M82" s="7"/>
    </row>
    <row r="83" spans="13:13" x14ac:dyDescent="0.35">
      <c r="M83" s="7"/>
    </row>
    <row r="84" spans="13:13" x14ac:dyDescent="0.35">
      <c r="M84" s="7"/>
    </row>
    <row r="85" spans="13:13" x14ac:dyDescent="0.35">
      <c r="M85" s="7"/>
    </row>
    <row r="86" spans="13:13" x14ac:dyDescent="0.35">
      <c r="M86" s="7"/>
    </row>
    <row r="87" spans="13:13" x14ac:dyDescent="0.35">
      <c r="M87" s="7"/>
    </row>
    <row r="88" spans="13:13" x14ac:dyDescent="0.35">
      <c r="M88" s="7"/>
    </row>
    <row r="89" spans="13:13" x14ac:dyDescent="0.35">
      <c r="M89" s="7"/>
    </row>
    <row r="90" spans="13:13" x14ac:dyDescent="0.35">
      <c r="M90" s="7"/>
    </row>
    <row r="91" spans="13:13" x14ac:dyDescent="0.35">
      <c r="M91" s="7"/>
    </row>
    <row r="92" spans="13:13" x14ac:dyDescent="0.35">
      <c r="M92" s="7"/>
    </row>
    <row r="93" spans="13:13" x14ac:dyDescent="0.35">
      <c r="M93" s="7"/>
    </row>
    <row r="94" spans="13:13" x14ac:dyDescent="0.35">
      <c r="M94" s="7"/>
    </row>
    <row r="95" spans="13:13" x14ac:dyDescent="0.35">
      <c r="M95" s="7"/>
    </row>
    <row r="96" spans="13:13" x14ac:dyDescent="0.35">
      <c r="M96" s="7"/>
    </row>
    <row r="97" spans="13:13" x14ac:dyDescent="0.35">
      <c r="M97" s="7"/>
    </row>
    <row r="98" spans="13:13" x14ac:dyDescent="0.35">
      <c r="M98" s="7"/>
    </row>
    <row r="99" spans="13:13" x14ac:dyDescent="0.35">
      <c r="M99" s="7"/>
    </row>
    <row r="100" spans="13:13" x14ac:dyDescent="0.35">
      <c r="M100" s="7"/>
    </row>
    <row r="101" spans="13:13" x14ac:dyDescent="0.35">
      <c r="M101" s="7"/>
    </row>
    <row r="102" spans="13:13" x14ac:dyDescent="0.35">
      <c r="M102" s="7"/>
    </row>
    <row r="103" spans="13:13" x14ac:dyDescent="0.35">
      <c r="M103" s="7"/>
    </row>
    <row r="104" spans="13:13" x14ac:dyDescent="0.35">
      <c r="M104" s="7"/>
    </row>
    <row r="105" spans="13:13" x14ac:dyDescent="0.35">
      <c r="M105" s="7"/>
    </row>
    <row r="106" spans="13:13" x14ac:dyDescent="0.35">
      <c r="M106" s="7"/>
    </row>
    <row r="107" spans="13:13" x14ac:dyDescent="0.35">
      <c r="M107" s="7"/>
    </row>
    <row r="108" spans="13:13" x14ac:dyDescent="0.35">
      <c r="M108" s="7"/>
    </row>
    <row r="109" spans="13:13" x14ac:dyDescent="0.35">
      <c r="M109" s="7"/>
    </row>
    <row r="110" spans="13:13" x14ac:dyDescent="0.35">
      <c r="M110" s="7"/>
    </row>
    <row r="111" spans="13:13" x14ac:dyDescent="0.35">
      <c r="M111" s="7"/>
    </row>
    <row r="112" spans="13:13" x14ac:dyDescent="0.35">
      <c r="M112" s="7"/>
    </row>
    <row r="113" spans="13:13" x14ac:dyDescent="0.35">
      <c r="M113" s="7"/>
    </row>
    <row r="114" spans="13:13" x14ac:dyDescent="0.35">
      <c r="M114" s="7"/>
    </row>
    <row r="115" spans="13:13" x14ac:dyDescent="0.35">
      <c r="M115" s="7"/>
    </row>
    <row r="116" spans="13:13" x14ac:dyDescent="0.35">
      <c r="M116" s="7"/>
    </row>
    <row r="117" spans="13:13" x14ac:dyDescent="0.35">
      <c r="M117" s="7"/>
    </row>
    <row r="118" spans="13:13" x14ac:dyDescent="0.35">
      <c r="M118" s="7"/>
    </row>
    <row r="119" spans="13:13" x14ac:dyDescent="0.35">
      <c r="M119" s="7"/>
    </row>
    <row r="120" spans="13:13" x14ac:dyDescent="0.35">
      <c r="M120" s="7"/>
    </row>
    <row r="121" spans="13:13" x14ac:dyDescent="0.35">
      <c r="M121" s="7"/>
    </row>
    <row r="122" spans="13:13" x14ac:dyDescent="0.35">
      <c r="M122" s="7"/>
    </row>
    <row r="123" spans="13:13" x14ac:dyDescent="0.35">
      <c r="M123" s="7"/>
    </row>
    <row r="124" spans="13:13" x14ac:dyDescent="0.35">
      <c r="M124" s="7"/>
    </row>
    <row r="125" spans="13:13" x14ac:dyDescent="0.35">
      <c r="M125" s="7"/>
    </row>
    <row r="126" spans="13:13" x14ac:dyDescent="0.35">
      <c r="M126" s="7"/>
    </row>
    <row r="127" spans="13:13" x14ac:dyDescent="0.35">
      <c r="M127" s="7"/>
    </row>
    <row r="128" spans="13:13" x14ac:dyDescent="0.35">
      <c r="M128" s="7"/>
    </row>
    <row r="129" spans="13:13" x14ac:dyDescent="0.35">
      <c r="M129" s="7"/>
    </row>
    <row r="130" spans="13:13" x14ac:dyDescent="0.35">
      <c r="M130" s="7"/>
    </row>
    <row r="131" spans="13:13" x14ac:dyDescent="0.35">
      <c r="M131" s="7"/>
    </row>
    <row r="132" spans="13:13" x14ac:dyDescent="0.35">
      <c r="M132" s="7"/>
    </row>
    <row r="133" spans="13:13" x14ac:dyDescent="0.35">
      <c r="M133" s="7"/>
    </row>
    <row r="134" spans="13:13" x14ac:dyDescent="0.35">
      <c r="M134" s="7"/>
    </row>
    <row r="135" spans="13:13" x14ac:dyDescent="0.35">
      <c r="M135" s="7"/>
    </row>
    <row r="136" spans="13:13" x14ac:dyDescent="0.35">
      <c r="M136" s="7"/>
    </row>
    <row r="137" spans="13:13" x14ac:dyDescent="0.35">
      <c r="M137" s="7"/>
    </row>
    <row r="138" spans="13:13" x14ac:dyDescent="0.35">
      <c r="M138" s="7"/>
    </row>
    <row r="139" spans="13:13" x14ac:dyDescent="0.35">
      <c r="M139" s="7"/>
    </row>
    <row r="140" spans="13:13" x14ac:dyDescent="0.35">
      <c r="M140" s="7"/>
    </row>
    <row r="141" spans="13:13" x14ac:dyDescent="0.35">
      <c r="M141" s="7"/>
    </row>
    <row r="142" spans="13:13" x14ac:dyDescent="0.35">
      <c r="M142" s="7"/>
    </row>
    <row r="143" spans="13:13" x14ac:dyDescent="0.35">
      <c r="M143" s="7"/>
    </row>
    <row r="144" spans="13:13" x14ac:dyDescent="0.35">
      <c r="M144" s="7"/>
    </row>
    <row r="145" spans="13:13" x14ac:dyDescent="0.35">
      <c r="M145" s="7"/>
    </row>
    <row r="146" spans="13:13" x14ac:dyDescent="0.35">
      <c r="M146" s="7"/>
    </row>
    <row r="147" spans="13:13" x14ac:dyDescent="0.35">
      <c r="M147" s="7"/>
    </row>
    <row r="148" spans="13:13" x14ac:dyDescent="0.35">
      <c r="M148" s="7"/>
    </row>
    <row r="149" spans="13:13" x14ac:dyDescent="0.35">
      <c r="M149" s="7"/>
    </row>
    <row r="150" spans="13:13" x14ac:dyDescent="0.35">
      <c r="M150" s="7"/>
    </row>
    <row r="151" spans="13:13" x14ac:dyDescent="0.35">
      <c r="M151" s="7"/>
    </row>
    <row r="152" spans="13:13" x14ac:dyDescent="0.35">
      <c r="M152" s="7"/>
    </row>
    <row r="153" spans="13:13" x14ac:dyDescent="0.35">
      <c r="M153" s="7"/>
    </row>
    <row r="154" spans="13:13" x14ac:dyDescent="0.35">
      <c r="M154" s="7"/>
    </row>
    <row r="155" spans="13:13" x14ac:dyDescent="0.35">
      <c r="M155" s="7"/>
    </row>
    <row r="156" spans="13:13" x14ac:dyDescent="0.35">
      <c r="M156" s="7"/>
    </row>
    <row r="157" spans="13:13" x14ac:dyDescent="0.35">
      <c r="M157" s="7"/>
    </row>
  </sheetData>
  <mergeCells count="13">
    <mergeCell ref="B19:B20"/>
    <mergeCell ref="D1:L1"/>
    <mergeCell ref="D2:L8"/>
    <mergeCell ref="B10:B14"/>
    <mergeCell ref="B17:B18"/>
    <mergeCell ref="B37:B38"/>
    <mergeCell ref="B39:B40"/>
    <mergeCell ref="B22:B23"/>
    <mergeCell ref="B24:B25"/>
    <mergeCell ref="B27:B28"/>
    <mergeCell ref="B29:B30"/>
    <mergeCell ref="B32:B33"/>
    <mergeCell ref="B34:B35"/>
  </mergeCells>
  <conditionalFormatting sqref="G9">
    <cfRule type="expression" dxfId="42" priority="7" stopIfTrue="1">
      <formula>IF(AND(LOWER(D9)="son",LOWER(G9)="female"),TRUE,FALSE)</formula>
    </cfRule>
    <cfRule type="expression" dxfId="41" priority="8" stopIfTrue="1">
      <formula>IF(AND(LOWER(D9)="daughter",LOWER(G9)="male"),TRUE,FALSE)</formula>
    </cfRule>
    <cfRule type="expression" dxfId="40" priority="9" stopIfTrue="1">
      <formula>IF(AND(LOWER(D9)="husband",LOWER(G9)="female"),TRUE,FALSE)</formula>
    </cfRule>
    <cfRule type="expression" dxfId="39" priority="10" stopIfTrue="1">
      <formula>IF(AND(LOWER(D9)="wife",LOWER(G9)="male"),TRUE,FALSE)</formula>
    </cfRule>
    <cfRule type="expression" dxfId="38" priority="11" stopIfTrue="1">
      <formula>IF(AND(LOWER(D9)="father",LOWER(G9)="female"),TRUE,FALSE)</formula>
    </cfRule>
    <cfRule type="expression" dxfId="37" priority="12" stopIfTrue="1">
      <formula>IF(AND(LOWER(D9)="mother",LOWER(G9)="male"),TRUE,FALSE)</formula>
    </cfRule>
  </conditionalFormatting>
  <conditionalFormatting sqref="M879:AGO882">
    <cfRule type="expression" dxfId="36" priority="15" stopIfTrue="1">
      <formula>COUNTIF(V873:V879,V879)&gt;1</formula>
    </cfRule>
  </conditionalFormatting>
  <conditionalFormatting sqref="M154:AGH878">
    <cfRule type="expression" dxfId="35" priority="16" stopIfTrue="1">
      <formula>COUNTIF(W148:W154,V154)&gt;1</formula>
    </cfRule>
  </conditionalFormatting>
  <conditionalFormatting sqref="M34:AFY153 M31:AFY32 M13:AFY13 M23:AFY29">
    <cfRule type="expression" dxfId="34" priority="17" stopIfTrue="1">
      <formula>COUNTIF(X7:X13,V13)&gt;1</formula>
    </cfRule>
  </conditionalFormatting>
  <conditionalFormatting sqref="M30:AFW30 M33:P33 R33:AFW33">
    <cfRule type="expression" dxfId="33" priority="24" stopIfTrue="1">
      <formula>COUNTIF(Z24:Z30,V30)&gt;1</formula>
    </cfRule>
  </conditionalFormatting>
  <conditionalFormatting sqref="H9">
    <cfRule type="expression" dxfId="32" priority="25" stopIfTrue="1">
      <formula>IF(H9&lt;MEDIAN(H3:H9)*0.1,TRUE,FALSE)</formula>
    </cfRule>
  </conditionalFormatting>
  <conditionalFormatting sqref="Q33">
    <cfRule type="expression" dxfId="31" priority="6" stopIfTrue="1">
      <formula>COUNTIF(AB27:AB33,Z33)&gt;1</formula>
    </cfRule>
  </conditionalFormatting>
  <conditionalFormatting sqref="M20:AFY20">
    <cfRule type="expression" dxfId="30" priority="705" stopIfTrue="1">
      <formula>COUNTIF(X12:X20,V20)&gt;1</formula>
    </cfRule>
  </conditionalFormatting>
  <conditionalFormatting sqref="M10:AFY11">
    <cfRule type="expression" dxfId="29" priority="707" stopIfTrue="1">
      <formula>COUNTIF(X6:X10,V10)&gt;1</formula>
    </cfRule>
  </conditionalFormatting>
  <conditionalFormatting sqref="M12:AFY12">
    <cfRule type="expression" dxfId="28" priority="767" stopIfTrue="1">
      <formula>COUNTIF(X7:X12,V12)&gt;1</formula>
    </cfRule>
  </conditionalFormatting>
  <conditionalFormatting sqref="D9:E9">
    <cfRule type="expression" dxfId="27" priority="770" stopIfTrue="1">
      <formula>IF(INDEX($F9:$F15495,MATCH(1,($A9:$A15491=$A9)*($D9:$D15495="Parent"),0))&lt;INDEX($F9:$F15495,MATCH(1,($A9:$A15491=$A9)*($D9:$D15495="Self"),0)),TRUE,FALSE)</formula>
    </cfRule>
    <cfRule type="expression" dxfId="26" priority="771" stopIfTrue="1">
      <formula>IF(INDEX($F9:$F15495,MATCH(1,($A9:$A15491=$A9)*($D9:$D15495="Father"),0))&lt;INDEX($F9:$F15495,MATCH(1,($A9:$A15491=$A9)*($D9:$D15495="Self"),0)),TRUE,FALSE)</formula>
    </cfRule>
    <cfRule type="expression" dxfId="25" priority="772" stopIfTrue="1">
      <formula>IF(INDEX($F9:$F15495,MATCH(1,($A9:$A15491=$A9)*($D9:$D15495="Mother"),0))&lt;INDEX($F9:$F15495,MATCH(1,($A9:$A15491=$A9)*($D9:$D15495="Self"),0)),TRUE,FALSE)</formula>
    </cfRule>
    <cfRule type="expression" dxfId="24" priority="773" stopIfTrue="1">
      <formula>IF(INDEX($F9:$F15495,MATCH(1,($A9:$A15491=$A9)*($D9:$D15495="Child"),0))&gt;INDEX($F9:$F15495,MATCH(1,($A9:$A15491=$A9)*($D9:$D15495="Self"),0)),TRUE,FALSE)</formula>
    </cfRule>
    <cfRule type="expression" dxfId="23" priority="774" stopIfTrue="1">
      <formula>IF(INDEX($F9:$F15495,MATCH(1,($A9:$A15491=$A9)*($D9:$D15495="Son"),0))&gt;INDEX($F9:$F15495,MATCH(1,($A9:$A15491=$A9)*($D9:$D15495="Self"),0)),TRUE,FALSE)</formula>
    </cfRule>
    <cfRule type="expression" dxfId="22" priority="775" stopIfTrue="1">
      <formula>IF(INDEX($F9:$F15495,MATCH(1,($A9:$A15491=$A9)*($D9:$D15495="Daughter"),0))&gt;INDEX($F9:$F15495,MATCH(1,($A9:$A15491=$A9)*($D9:$D15495="Self"),0)),TRUE,FALSE)</formula>
    </cfRule>
  </conditionalFormatting>
  <conditionalFormatting sqref="M14:T16 V14:AFY16">
    <cfRule type="expression" dxfId="21" priority="779" stopIfTrue="1">
      <formula>COUNTIF(X6:X14,V14)&gt;1</formula>
    </cfRule>
  </conditionalFormatting>
  <conditionalFormatting sqref="M21:AFY22">
    <cfRule type="expression" dxfId="20" priority="780" stopIfTrue="1">
      <formula>COUNTIF(X14:X21,V21)&gt;1</formula>
    </cfRule>
  </conditionalFormatting>
  <conditionalFormatting sqref="M17:AFY19">
    <cfRule type="expression" dxfId="19" priority="782" stopIfTrue="1">
      <formula>COUNTIF(X8:X17,V17)&gt;1</formula>
    </cfRule>
  </conditionalFormatting>
  <dataValidations count="1">
    <dataValidation type="list" allowBlank="1" showInputMessage="1" showErrorMessage="1" sqref="O1">
      <formula1>$D$10:$D$157</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O154"/>
  <sheetViews>
    <sheetView showGridLines="0" zoomScale="80" zoomScaleNormal="80" workbookViewId="0">
      <selection activeCell="I10" sqref="I10"/>
    </sheetView>
  </sheetViews>
  <sheetFormatPr defaultColWidth="8.81640625" defaultRowHeight="14.5" x14ac:dyDescent="0.35"/>
  <cols>
    <col min="1" max="1" width="3.7265625" customWidth="1"/>
    <col min="2" max="2" width="27.453125" customWidth="1"/>
    <col min="3" max="3" width="3.7265625" customWidth="1"/>
    <col min="4" max="4" width="13.26953125" customWidth="1"/>
    <col min="5" max="5" width="35.453125" bestFit="1" customWidth="1"/>
    <col min="6" max="6" width="11.453125" customWidth="1"/>
    <col min="7" max="7" width="18.7265625" customWidth="1"/>
    <col min="8" max="9" width="23.81640625" bestFit="1" customWidth="1"/>
    <col min="10" max="10" width="17.26953125" customWidth="1"/>
    <col min="11" max="11" width="38.453125" bestFit="1" customWidth="1"/>
    <col min="12" max="12" width="19" customWidth="1"/>
    <col min="13" max="13" width="17.81640625" customWidth="1"/>
    <col min="14" max="14" width="10.453125" customWidth="1"/>
    <col min="17" max="17" width="17.453125" customWidth="1"/>
    <col min="18" max="18" width="18.81640625" bestFit="1" customWidth="1"/>
    <col min="19" max="19" width="11.81640625" customWidth="1"/>
  </cols>
  <sheetData>
    <row r="1" spans="2:15" ht="23.25" customHeight="1" x14ac:dyDescent="0.35">
      <c r="C1" s="9"/>
      <c r="D1" s="27" t="s">
        <v>0</v>
      </c>
      <c r="E1" s="27"/>
      <c r="F1" s="27"/>
      <c r="G1" s="27"/>
      <c r="H1" s="27"/>
      <c r="I1" s="27"/>
      <c r="J1" s="27"/>
      <c r="K1" s="27"/>
      <c r="L1" s="27"/>
    </row>
    <row r="2" spans="2:15" ht="23.25" customHeight="1" x14ac:dyDescent="0.4">
      <c r="D2" s="31" t="s">
        <v>1</v>
      </c>
      <c r="E2" s="32"/>
      <c r="F2" s="32"/>
      <c r="G2" s="32"/>
      <c r="H2" s="32"/>
      <c r="I2" s="32"/>
      <c r="J2" s="32"/>
      <c r="K2" s="32"/>
      <c r="L2" s="32"/>
      <c r="O2" s="3"/>
    </row>
    <row r="3" spans="2:15" ht="23.25" customHeight="1" x14ac:dyDescent="0.4">
      <c r="D3" s="32"/>
      <c r="E3" s="32"/>
      <c r="F3" s="32"/>
      <c r="G3" s="32"/>
      <c r="H3" s="32"/>
      <c r="I3" s="32"/>
      <c r="J3" s="32"/>
      <c r="K3" s="32"/>
      <c r="L3" s="32"/>
      <c r="O3" s="3"/>
    </row>
    <row r="4" spans="2:15" ht="23.25" customHeight="1" x14ac:dyDescent="0.35">
      <c r="D4" s="32"/>
      <c r="E4" s="32"/>
      <c r="F4" s="32"/>
      <c r="G4" s="32"/>
      <c r="H4" s="32"/>
      <c r="I4" s="32"/>
      <c r="J4" s="32"/>
      <c r="K4" s="32"/>
      <c r="L4" s="32"/>
    </row>
    <row r="5" spans="2:15" ht="23.25" customHeight="1" x14ac:dyDescent="0.35">
      <c r="D5" s="32"/>
      <c r="E5" s="32"/>
      <c r="F5" s="32"/>
      <c r="G5" s="32"/>
      <c r="H5" s="32"/>
      <c r="I5" s="32"/>
      <c r="J5" s="32"/>
      <c r="K5" s="32"/>
      <c r="L5" s="32"/>
    </row>
    <row r="6" spans="2:15" ht="23.25" customHeight="1" x14ac:dyDescent="0.35">
      <c r="D6" s="32"/>
      <c r="E6" s="32"/>
      <c r="F6" s="32"/>
      <c r="G6" s="32"/>
      <c r="H6" s="32"/>
      <c r="I6" s="32"/>
      <c r="J6" s="32"/>
      <c r="K6" s="32"/>
      <c r="L6" s="32"/>
    </row>
    <row r="7" spans="2:15" ht="23.25" customHeight="1" x14ac:dyDescent="0.35">
      <c r="D7" s="32"/>
      <c r="E7" s="32"/>
      <c r="F7" s="32"/>
      <c r="G7" s="32"/>
      <c r="H7" s="32"/>
      <c r="I7" s="32"/>
      <c r="J7" s="32"/>
      <c r="K7" s="32"/>
      <c r="L7" s="32"/>
    </row>
    <row r="8" spans="2:15" ht="23.25" customHeight="1" x14ac:dyDescent="0.35">
      <c r="D8" s="32"/>
      <c r="E8" s="32"/>
      <c r="F8" s="32"/>
      <c r="G8" s="32"/>
      <c r="H8" s="32"/>
      <c r="I8" s="32"/>
      <c r="J8" s="32"/>
      <c r="K8" s="32"/>
      <c r="L8" s="32"/>
    </row>
    <row r="9" spans="2:15" ht="16.5" x14ac:dyDescent="0.45">
      <c r="B9" s="29" t="s">
        <v>2</v>
      </c>
      <c r="D9" s="10" t="s">
        <v>3</v>
      </c>
      <c r="E9" s="10" t="s">
        <v>4</v>
      </c>
      <c r="F9" s="10" t="s">
        <v>5</v>
      </c>
      <c r="G9" s="10" t="s">
        <v>27</v>
      </c>
      <c r="H9" s="10" t="s">
        <v>28</v>
      </c>
      <c r="I9" s="10" t="s">
        <v>29</v>
      </c>
      <c r="N9" s="1"/>
    </row>
    <row r="10" spans="2:15" ht="15" thickBot="1" x14ac:dyDescent="0.4">
      <c r="B10" s="30"/>
      <c r="D10" s="23" t="s">
        <v>15</v>
      </c>
      <c r="E10" s="24" t="s">
        <v>16</v>
      </c>
      <c r="F10" s="15" t="s">
        <v>30</v>
      </c>
      <c r="G10" s="15" t="s">
        <v>59</v>
      </c>
      <c r="H10" s="15">
        <v>200000</v>
      </c>
      <c r="I10" s="15">
        <v>300000</v>
      </c>
      <c r="J10" s="16" t="s">
        <v>60</v>
      </c>
      <c r="M10" s="7"/>
    </row>
    <row r="11" spans="2:15" x14ac:dyDescent="0.35">
      <c r="B11" s="28">
        <f>COUNTA(F10:F1048576)</f>
        <v>3</v>
      </c>
      <c r="D11" s="25" t="s">
        <v>17</v>
      </c>
      <c r="E11" s="25" t="s">
        <v>18</v>
      </c>
      <c r="F11" s="15" t="s">
        <v>30</v>
      </c>
      <c r="G11" s="15" t="s">
        <v>59</v>
      </c>
      <c r="H11" s="15">
        <v>200000</v>
      </c>
      <c r="I11" s="15">
        <v>300000</v>
      </c>
      <c r="J11" s="16" t="s">
        <v>60</v>
      </c>
      <c r="M11" s="7"/>
    </row>
    <row r="12" spans="2:15" x14ac:dyDescent="0.35">
      <c r="B12" s="28"/>
      <c r="D12" s="25" t="s">
        <v>19</v>
      </c>
      <c r="E12" s="26" t="s">
        <v>20</v>
      </c>
      <c r="F12" s="15" t="s">
        <v>30</v>
      </c>
      <c r="G12" s="15" t="s">
        <v>59</v>
      </c>
      <c r="H12" s="15">
        <v>200000</v>
      </c>
      <c r="I12" s="15">
        <v>300000</v>
      </c>
      <c r="J12" s="16" t="s">
        <v>60</v>
      </c>
      <c r="M12" s="7"/>
    </row>
    <row r="13" spans="2:15" x14ac:dyDescent="0.35">
      <c r="B13" s="8"/>
      <c r="M13" s="7"/>
    </row>
    <row r="14" spans="2:15" x14ac:dyDescent="0.35">
      <c r="B14" s="29" t="s">
        <v>13</v>
      </c>
      <c r="C14" s="2"/>
      <c r="M14" s="7"/>
    </row>
    <row r="15" spans="2:15" ht="15" thickBot="1" x14ac:dyDescent="0.4">
      <c r="B15" s="30"/>
      <c r="C15" s="2"/>
      <c r="M15" s="7"/>
    </row>
    <row r="16" spans="2:15" x14ac:dyDescent="0.35">
      <c r="B16" s="28">
        <f>SUM(COUNTIF($F$10:$F$15483,"Self"),COUNTIF($F$10:$F$15484,"Employee"),COUNTIF($F$10:$F$15484,"Emp"))</f>
        <v>3</v>
      </c>
      <c r="C16" s="5"/>
      <c r="M16" s="7"/>
    </row>
    <row r="17" spans="2:13" x14ac:dyDescent="0.35">
      <c r="B17" s="28"/>
      <c r="C17" s="2"/>
      <c r="M17" s="7"/>
    </row>
    <row r="18" spans="2:13" x14ac:dyDescent="0.35">
      <c r="B18" s="2"/>
      <c r="C18" s="2"/>
      <c r="M18" s="7"/>
    </row>
    <row r="19" spans="2:13" x14ac:dyDescent="0.35">
      <c r="B19" s="29" t="s">
        <v>21</v>
      </c>
      <c r="C19" s="4"/>
      <c r="M19" s="7"/>
    </row>
    <row r="20" spans="2:13" ht="15" thickBot="1" x14ac:dyDescent="0.4">
      <c r="B20" s="30"/>
      <c r="C20" s="2"/>
      <c r="M20" s="7"/>
    </row>
    <row r="21" spans="2:13" x14ac:dyDescent="0.35">
      <c r="B21" s="28">
        <f>SUM(COUNTIF($F$10:$F$15484,"Spouse"),COUNTIF($F$10:$F$15484,"Wife"),COUNTIF($F$10:$F$15484,"Husband"))</f>
        <v>0</v>
      </c>
      <c r="C21" s="7"/>
      <c r="M21" s="7"/>
    </row>
    <row r="22" spans="2:13" x14ac:dyDescent="0.35">
      <c r="B22" s="28"/>
      <c r="C22" s="2"/>
      <c r="M22" s="7"/>
    </row>
    <row r="23" spans="2:13" x14ac:dyDescent="0.35">
      <c r="B23" s="2"/>
      <c r="C23" s="2"/>
      <c r="M23" s="7"/>
    </row>
    <row r="24" spans="2:13" x14ac:dyDescent="0.35">
      <c r="B24" s="29" t="s">
        <v>22</v>
      </c>
      <c r="C24" s="2"/>
      <c r="M24" s="7"/>
    </row>
    <row r="25" spans="2:13" ht="15" thickBot="1" x14ac:dyDescent="0.4">
      <c r="B25" s="30"/>
      <c r="C25" s="5"/>
      <c r="M25" s="7"/>
    </row>
    <row r="26" spans="2:13" x14ac:dyDescent="0.35">
      <c r="B26" s="28">
        <f>SUM(COUNTIF($F$10:$F$15484,"Children"),COUNTIF($F$10:$F$15484,"Child"),COUNTIF($F$10:$F$15484,"Son"),COUNTIF($F$10:$F$15484,"Daughter"))</f>
        <v>0</v>
      </c>
      <c r="C26" s="2"/>
      <c r="M26" s="7"/>
    </row>
    <row r="27" spans="2:13" x14ac:dyDescent="0.35">
      <c r="B27" s="28"/>
      <c r="C27" s="6"/>
      <c r="M27" s="7"/>
    </row>
    <row r="28" spans="2:13" x14ac:dyDescent="0.35">
      <c r="B28" s="2"/>
      <c r="C28" s="4"/>
      <c r="M28" s="7"/>
    </row>
    <row r="29" spans="2:13" x14ac:dyDescent="0.35">
      <c r="B29" s="29" t="s">
        <v>23</v>
      </c>
      <c r="C29" s="2"/>
      <c r="M29" s="7"/>
    </row>
    <row r="30" spans="2:13" ht="15" thickBot="1" x14ac:dyDescent="0.4">
      <c r="B30" s="30"/>
      <c r="C30" s="2"/>
      <c r="M30" s="7"/>
    </row>
    <row r="31" spans="2:13" x14ac:dyDescent="0.35">
      <c r="B31" s="28">
        <f>SUM(COUNTIF($F$10:$F$15484,"Parent"),COUNTIF($F$10:$F$15484,"Father"),COUNTIF($F$10:$F$15484,"Mother"))</f>
        <v>0</v>
      </c>
      <c r="M31" s="7"/>
    </row>
    <row r="32" spans="2:13" x14ac:dyDescent="0.35">
      <c r="B32" s="28"/>
      <c r="M32" s="7"/>
    </row>
    <row r="33" spans="2:13" x14ac:dyDescent="0.35">
      <c r="B33" s="2"/>
      <c r="M33" s="7"/>
    </row>
    <row r="34" spans="2:13" x14ac:dyDescent="0.35">
      <c r="B34" s="29" t="s">
        <v>24</v>
      </c>
      <c r="M34" s="7"/>
    </row>
    <row r="35" spans="2:13" ht="15" thickBot="1" x14ac:dyDescent="0.4">
      <c r="B35" s="30"/>
      <c r="M35" s="7"/>
    </row>
    <row r="36" spans="2:13" x14ac:dyDescent="0.35">
      <c r="B36" s="28">
        <f>SUM(COUNTIF($F$10:$F$15484,"Parent-In-Law"),COUNTIF($F$10:$F$15484,"Parent In Law"),COUNTIF($F$10:$F$15484,"Father-In-Law"),COUNTIF($F$10:$F$15484,"Father In Law"),COUNTIF($F$10:$F$15484,"Mother-In-Law"),COUNTIF($F$10:$F$15484,"Mother In Law"),COUNTIF($F$10:$F$15484,"Parent_In_Law"),COUNTIF($F$10:$F$15484,"Father_In_Law"),COUNTIF($F$10:$F$15484,"Mother_In_Law"))</f>
        <v>0</v>
      </c>
      <c r="M36" s="7"/>
    </row>
    <row r="37" spans="2:13" x14ac:dyDescent="0.35">
      <c r="B37" s="28"/>
      <c r="M37" s="7"/>
    </row>
    <row r="38" spans="2:13" x14ac:dyDescent="0.35">
      <c r="B38" s="8"/>
      <c r="M38" s="7"/>
    </row>
    <row r="39" spans="2:13" x14ac:dyDescent="0.35">
      <c r="B39" s="8"/>
      <c r="M39" s="7"/>
    </row>
    <row r="40" spans="2:13" x14ac:dyDescent="0.35">
      <c r="B40" s="8"/>
      <c r="M40" s="7"/>
    </row>
    <row r="41" spans="2:13" x14ac:dyDescent="0.35">
      <c r="B41" s="8"/>
      <c r="M41" s="7"/>
    </row>
    <row r="42" spans="2:13" x14ac:dyDescent="0.35">
      <c r="B42" s="8"/>
      <c r="M42" s="7"/>
    </row>
    <row r="43" spans="2:13" x14ac:dyDescent="0.35">
      <c r="B43" s="8"/>
      <c r="M43" s="7"/>
    </row>
    <row r="44" spans="2:13" x14ac:dyDescent="0.35">
      <c r="B44" s="8"/>
      <c r="M44" s="7"/>
    </row>
    <row r="45" spans="2:13" x14ac:dyDescent="0.35">
      <c r="B45" s="8"/>
      <c r="M45" s="7"/>
    </row>
    <row r="46" spans="2:13" x14ac:dyDescent="0.35">
      <c r="B46" s="8"/>
      <c r="M46" s="7"/>
    </row>
    <row r="47" spans="2:13" x14ac:dyDescent="0.35">
      <c r="B47" s="8"/>
      <c r="M47" s="7"/>
    </row>
    <row r="48" spans="2:13" x14ac:dyDescent="0.35">
      <c r="B48" s="8"/>
      <c r="M48" s="7"/>
    </row>
    <row r="49" spans="2:13" x14ac:dyDescent="0.35">
      <c r="B49" s="8"/>
      <c r="M49" s="7"/>
    </row>
    <row r="50" spans="2:13" x14ac:dyDescent="0.35">
      <c r="M50" s="7"/>
    </row>
    <row r="51" spans="2:13" x14ac:dyDescent="0.35">
      <c r="M51" s="7"/>
    </row>
    <row r="52" spans="2:13" x14ac:dyDescent="0.35">
      <c r="M52" s="7"/>
    </row>
    <row r="53" spans="2:13" x14ac:dyDescent="0.35">
      <c r="M53" s="7"/>
    </row>
    <row r="54" spans="2:13" x14ac:dyDescent="0.35">
      <c r="M54" s="7"/>
    </row>
    <row r="55" spans="2:13" x14ac:dyDescent="0.35">
      <c r="M55" s="7"/>
    </row>
    <row r="56" spans="2:13" x14ac:dyDescent="0.35">
      <c r="M56" s="7"/>
    </row>
    <row r="57" spans="2:13" x14ac:dyDescent="0.35">
      <c r="M57" s="7"/>
    </row>
    <row r="58" spans="2:13" x14ac:dyDescent="0.35">
      <c r="M58" s="7"/>
    </row>
    <row r="59" spans="2:13" x14ac:dyDescent="0.35">
      <c r="M59" s="7"/>
    </row>
    <row r="60" spans="2:13" x14ac:dyDescent="0.35">
      <c r="M60" s="7"/>
    </row>
    <row r="61" spans="2:13" x14ac:dyDescent="0.35">
      <c r="M61" s="7"/>
    </row>
    <row r="62" spans="2:13" x14ac:dyDescent="0.35">
      <c r="M62" s="7"/>
    </row>
    <row r="63" spans="2:13" x14ac:dyDescent="0.35">
      <c r="M63" s="7"/>
    </row>
    <row r="64" spans="2:13" x14ac:dyDescent="0.35">
      <c r="M64" s="7"/>
    </row>
    <row r="65" spans="13:13" x14ac:dyDescent="0.35">
      <c r="M65" s="7"/>
    </row>
    <row r="66" spans="13:13" x14ac:dyDescent="0.35">
      <c r="M66" s="7"/>
    </row>
    <row r="67" spans="13:13" x14ac:dyDescent="0.35">
      <c r="M67" s="7"/>
    </row>
    <row r="68" spans="13:13" x14ac:dyDescent="0.35">
      <c r="M68" s="7"/>
    </row>
    <row r="69" spans="13:13" x14ac:dyDescent="0.35">
      <c r="M69" s="7"/>
    </row>
    <row r="70" spans="13:13" x14ac:dyDescent="0.35">
      <c r="M70" s="7"/>
    </row>
    <row r="71" spans="13:13" x14ac:dyDescent="0.35">
      <c r="M71" s="7"/>
    </row>
    <row r="72" spans="13:13" x14ac:dyDescent="0.35">
      <c r="M72" s="7"/>
    </row>
    <row r="73" spans="13:13" x14ac:dyDescent="0.35">
      <c r="M73" s="7"/>
    </row>
    <row r="74" spans="13:13" x14ac:dyDescent="0.35">
      <c r="M74" s="7"/>
    </row>
    <row r="75" spans="13:13" x14ac:dyDescent="0.35">
      <c r="M75" s="7"/>
    </row>
    <row r="76" spans="13:13" x14ac:dyDescent="0.35">
      <c r="M76" s="7"/>
    </row>
    <row r="77" spans="13:13" x14ac:dyDescent="0.35">
      <c r="M77" s="7"/>
    </row>
    <row r="78" spans="13:13" x14ac:dyDescent="0.35">
      <c r="M78" s="7"/>
    </row>
    <row r="79" spans="13:13" x14ac:dyDescent="0.35">
      <c r="M79" s="7"/>
    </row>
    <row r="80" spans="13:13" x14ac:dyDescent="0.35">
      <c r="M80" s="7"/>
    </row>
    <row r="81" spans="13:13" x14ac:dyDescent="0.35">
      <c r="M81" s="7"/>
    </row>
    <row r="82" spans="13:13" x14ac:dyDescent="0.35">
      <c r="M82" s="7"/>
    </row>
    <row r="83" spans="13:13" x14ac:dyDescent="0.35">
      <c r="M83" s="7"/>
    </row>
    <row r="84" spans="13:13" x14ac:dyDescent="0.35">
      <c r="M84" s="7"/>
    </row>
    <row r="85" spans="13:13" x14ac:dyDescent="0.35">
      <c r="M85" s="7"/>
    </row>
    <row r="86" spans="13:13" x14ac:dyDescent="0.35">
      <c r="M86" s="7"/>
    </row>
    <row r="87" spans="13:13" x14ac:dyDescent="0.35">
      <c r="M87" s="7"/>
    </row>
    <row r="88" spans="13:13" x14ac:dyDescent="0.35">
      <c r="M88" s="7"/>
    </row>
    <row r="89" spans="13:13" x14ac:dyDescent="0.35">
      <c r="M89" s="7"/>
    </row>
    <row r="90" spans="13:13" x14ac:dyDescent="0.35">
      <c r="M90" s="7"/>
    </row>
    <row r="91" spans="13:13" x14ac:dyDescent="0.35">
      <c r="M91" s="7"/>
    </row>
    <row r="92" spans="13:13" x14ac:dyDescent="0.35">
      <c r="M92" s="7"/>
    </row>
    <row r="93" spans="13:13" x14ac:dyDescent="0.35">
      <c r="M93" s="7"/>
    </row>
    <row r="94" spans="13:13" x14ac:dyDescent="0.35">
      <c r="M94" s="7"/>
    </row>
    <row r="95" spans="13:13" x14ac:dyDescent="0.35">
      <c r="M95" s="7"/>
    </row>
    <row r="96" spans="13:13" x14ac:dyDescent="0.35">
      <c r="M96" s="7"/>
    </row>
    <row r="97" spans="13:13" x14ac:dyDescent="0.35">
      <c r="M97" s="7"/>
    </row>
    <row r="98" spans="13:13" x14ac:dyDescent="0.35">
      <c r="M98" s="7"/>
    </row>
    <row r="99" spans="13:13" x14ac:dyDescent="0.35">
      <c r="M99" s="7"/>
    </row>
    <row r="100" spans="13:13" x14ac:dyDescent="0.35">
      <c r="M100" s="7"/>
    </row>
    <row r="101" spans="13:13" x14ac:dyDescent="0.35">
      <c r="M101" s="7"/>
    </row>
    <row r="102" spans="13:13" x14ac:dyDescent="0.35">
      <c r="M102" s="7"/>
    </row>
    <row r="103" spans="13:13" x14ac:dyDescent="0.35">
      <c r="M103" s="7"/>
    </row>
    <row r="104" spans="13:13" x14ac:dyDescent="0.35">
      <c r="M104" s="7"/>
    </row>
    <row r="105" spans="13:13" x14ac:dyDescent="0.35">
      <c r="M105" s="7"/>
    </row>
    <row r="106" spans="13:13" x14ac:dyDescent="0.35">
      <c r="M106" s="7"/>
    </row>
    <row r="107" spans="13:13" x14ac:dyDescent="0.35">
      <c r="M107" s="7"/>
    </row>
    <row r="108" spans="13:13" x14ac:dyDescent="0.35">
      <c r="M108" s="7"/>
    </row>
    <row r="109" spans="13:13" x14ac:dyDescent="0.35">
      <c r="M109" s="7"/>
    </row>
    <row r="110" spans="13:13" x14ac:dyDescent="0.35">
      <c r="M110" s="7"/>
    </row>
    <row r="111" spans="13:13" x14ac:dyDescent="0.35">
      <c r="M111" s="7"/>
    </row>
    <row r="112" spans="13:13" x14ac:dyDescent="0.35">
      <c r="M112" s="7"/>
    </row>
    <row r="113" spans="13:13" x14ac:dyDescent="0.35">
      <c r="M113" s="7"/>
    </row>
    <row r="114" spans="13:13" x14ac:dyDescent="0.35">
      <c r="M114" s="7"/>
    </row>
    <row r="115" spans="13:13" x14ac:dyDescent="0.35">
      <c r="M115" s="7"/>
    </row>
    <row r="116" spans="13:13" x14ac:dyDescent="0.35">
      <c r="M116" s="7"/>
    </row>
    <row r="117" spans="13:13" x14ac:dyDescent="0.35">
      <c r="M117" s="7"/>
    </row>
    <row r="118" spans="13:13" x14ac:dyDescent="0.35">
      <c r="M118" s="7"/>
    </row>
    <row r="119" spans="13:13" x14ac:dyDescent="0.35">
      <c r="M119" s="7"/>
    </row>
    <row r="120" spans="13:13" x14ac:dyDescent="0.35">
      <c r="M120" s="7"/>
    </row>
    <row r="121" spans="13:13" x14ac:dyDescent="0.35">
      <c r="M121" s="7"/>
    </row>
    <row r="122" spans="13:13" x14ac:dyDescent="0.35">
      <c r="M122" s="7"/>
    </row>
    <row r="123" spans="13:13" x14ac:dyDescent="0.35">
      <c r="M123" s="7"/>
    </row>
    <row r="124" spans="13:13" x14ac:dyDescent="0.35">
      <c r="M124" s="7"/>
    </row>
    <row r="125" spans="13:13" x14ac:dyDescent="0.35">
      <c r="M125" s="7"/>
    </row>
    <row r="126" spans="13:13" x14ac:dyDescent="0.35">
      <c r="M126" s="7"/>
    </row>
    <row r="127" spans="13:13" x14ac:dyDescent="0.35">
      <c r="M127" s="7"/>
    </row>
    <row r="128" spans="13:13" x14ac:dyDescent="0.35">
      <c r="M128" s="7"/>
    </row>
    <row r="129" spans="13:13" x14ac:dyDescent="0.35">
      <c r="M129" s="7"/>
    </row>
    <row r="130" spans="13:13" x14ac:dyDescent="0.35">
      <c r="M130" s="7"/>
    </row>
    <row r="131" spans="13:13" x14ac:dyDescent="0.35">
      <c r="M131" s="7"/>
    </row>
    <row r="132" spans="13:13" x14ac:dyDescent="0.35">
      <c r="M132" s="7"/>
    </row>
    <row r="133" spans="13:13" x14ac:dyDescent="0.35">
      <c r="M133" s="7"/>
    </row>
    <row r="134" spans="13:13" x14ac:dyDescent="0.35">
      <c r="M134" s="7"/>
    </row>
    <row r="135" spans="13:13" x14ac:dyDescent="0.35">
      <c r="M135" s="7"/>
    </row>
    <row r="136" spans="13:13" x14ac:dyDescent="0.35">
      <c r="M136" s="7"/>
    </row>
    <row r="137" spans="13:13" x14ac:dyDescent="0.35">
      <c r="M137" s="7"/>
    </row>
    <row r="138" spans="13:13" x14ac:dyDescent="0.35">
      <c r="M138" s="7"/>
    </row>
    <row r="139" spans="13:13" x14ac:dyDescent="0.35">
      <c r="M139" s="7"/>
    </row>
    <row r="140" spans="13:13" x14ac:dyDescent="0.35">
      <c r="M140" s="7"/>
    </row>
    <row r="141" spans="13:13" x14ac:dyDescent="0.35">
      <c r="M141" s="7"/>
    </row>
    <row r="142" spans="13:13" x14ac:dyDescent="0.35">
      <c r="M142" s="7"/>
    </row>
    <row r="143" spans="13:13" x14ac:dyDescent="0.35">
      <c r="M143" s="7"/>
    </row>
    <row r="144" spans="13:13" x14ac:dyDescent="0.35">
      <c r="M144" s="7"/>
    </row>
    <row r="145" spans="13:13" x14ac:dyDescent="0.35">
      <c r="M145" s="7"/>
    </row>
    <row r="146" spans="13:13" x14ac:dyDescent="0.35">
      <c r="M146" s="7"/>
    </row>
    <row r="147" spans="13:13" x14ac:dyDescent="0.35">
      <c r="M147" s="7"/>
    </row>
    <row r="148" spans="13:13" x14ac:dyDescent="0.35">
      <c r="M148" s="7"/>
    </row>
    <row r="149" spans="13:13" x14ac:dyDescent="0.35">
      <c r="M149" s="7"/>
    </row>
    <row r="150" spans="13:13" x14ac:dyDescent="0.35">
      <c r="M150" s="7"/>
    </row>
    <row r="151" spans="13:13" x14ac:dyDescent="0.35">
      <c r="M151" s="7"/>
    </row>
    <row r="152" spans="13:13" x14ac:dyDescent="0.35">
      <c r="M152" s="7"/>
    </row>
    <row r="153" spans="13:13" x14ac:dyDescent="0.35">
      <c r="M153" s="7"/>
    </row>
    <row r="154" spans="13:13" x14ac:dyDescent="0.35">
      <c r="M154" s="7"/>
    </row>
  </sheetData>
  <mergeCells count="14">
    <mergeCell ref="B16:B17"/>
    <mergeCell ref="D1:L1"/>
    <mergeCell ref="D2:L8"/>
    <mergeCell ref="B9:B10"/>
    <mergeCell ref="B11:B12"/>
    <mergeCell ref="B14:B15"/>
    <mergeCell ref="B34:B35"/>
    <mergeCell ref="B36:B37"/>
    <mergeCell ref="B19:B20"/>
    <mergeCell ref="B21:B22"/>
    <mergeCell ref="B24:B25"/>
    <mergeCell ref="B26:B27"/>
    <mergeCell ref="B29:B30"/>
    <mergeCell ref="B31:B32"/>
  </mergeCells>
  <conditionalFormatting sqref="G9">
    <cfRule type="expression" dxfId="18" priority="3" stopIfTrue="1">
      <formula>IF(AND(LOWER(D9)="son",LOWER(G9)="female"),TRUE,FALSE)</formula>
    </cfRule>
    <cfRule type="expression" dxfId="17" priority="4" stopIfTrue="1">
      <formula>IF(AND(LOWER(D9)="daughter",LOWER(G9)="male"),TRUE,FALSE)</formula>
    </cfRule>
    <cfRule type="expression" dxfId="16" priority="5" stopIfTrue="1">
      <formula>IF(AND(LOWER(D9)="husband",LOWER(G9)="female"),TRUE,FALSE)</formula>
    </cfRule>
    <cfRule type="expression" dxfId="15" priority="6" stopIfTrue="1">
      <formula>IF(AND(LOWER(D9)="wife",LOWER(G9)="male"),TRUE,FALSE)</formula>
    </cfRule>
    <cfRule type="expression" dxfId="14" priority="7" stopIfTrue="1">
      <formula>IF(AND(LOWER(D9)="father",LOWER(G9)="female"),TRUE,FALSE)</formula>
    </cfRule>
    <cfRule type="expression" dxfId="13" priority="8" stopIfTrue="1">
      <formula>IF(AND(LOWER(D9)="mother",LOWER(G9)="male"),TRUE,FALSE)</formula>
    </cfRule>
  </conditionalFormatting>
  <conditionalFormatting sqref="M876:AGO879">
    <cfRule type="expression" dxfId="12" priority="11" stopIfTrue="1">
      <formula>COUNTIF(V870:V876,V876)&gt;1</formula>
    </cfRule>
  </conditionalFormatting>
  <conditionalFormatting sqref="M151:AGH875">
    <cfRule type="expression" dxfId="11" priority="12" stopIfTrue="1">
      <formula>COUNTIF(W145:W151,V151)&gt;1</formula>
    </cfRule>
  </conditionalFormatting>
  <conditionalFormatting sqref="M31:AFY150 M28:AFY29 M10:AFY11 M14:AFY26 M12:T13 V12:AFY13">
    <cfRule type="expression" dxfId="10" priority="13" stopIfTrue="1">
      <formula>COUNTIF(X4:X10,V10)&gt;1</formula>
    </cfRule>
  </conditionalFormatting>
  <conditionalFormatting sqref="D9:E9">
    <cfRule type="expression" dxfId="9" priority="14" stopIfTrue="1">
      <formula>IF(INDEX($F9:$F15492,MATCH(1,($A9:$A15488=$A9)*($D9:$D15492="Parent"),0))&lt;INDEX($F9:$F15492,MATCH(1,($A9:$A15488=$A9)*($D9:$D15492="Self"),0)),TRUE,FALSE)</formula>
    </cfRule>
    <cfRule type="expression" dxfId="8" priority="15" stopIfTrue="1">
      <formula>IF(INDEX($F9:$F15492,MATCH(1,($A9:$A15488=$A9)*($D9:$D15492="Father"),0))&lt;INDEX($F9:$F15492,MATCH(1,($A9:$A15488=$A9)*($D9:$D15492="Self"),0)),TRUE,FALSE)</formula>
    </cfRule>
    <cfRule type="expression" dxfId="7" priority="16" stopIfTrue="1">
      <formula>IF(INDEX($F9:$F15492,MATCH(1,($A9:$A15488=$A9)*($D9:$D15492="Mother"),0))&lt;INDEX($F9:$F15492,MATCH(1,($A9:$A15488=$A9)*($D9:$D15492="Self"),0)),TRUE,FALSE)</formula>
    </cfRule>
    <cfRule type="expression" dxfId="6" priority="17" stopIfTrue="1">
      <formula>IF(INDEX($F9:$F15492,MATCH(1,($A9:$A15488=$A9)*($D9:$D15492="Child"),0))&gt;INDEX($F9:$F15492,MATCH(1,($A9:$A15488=$A9)*($D9:$D15492="Self"),0)),TRUE,FALSE)</formula>
    </cfRule>
    <cfRule type="expression" dxfId="5" priority="18" stopIfTrue="1">
      <formula>IF(INDEX($F9:$F15492,MATCH(1,($A9:$A15488=$A9)*($D9:$D15492="Son"),0))&gt;INDEX($F9:$F15492,MATCH(1,($A9:$A15488=$A9)*($D9:$D15492="Self"),0)),TRUE,FALSE)</formula>
    </cfRule>
    <cfRule type="expression" dxfId="4" priority="19" stopIfTrue="1">
      <formula>IF(INDEX($F9:$F15492,MATCH(1,($A9:$A15488=$A9)*($D9:$D15492="Daughter"),0))&gt;INDEX($F9:$F15492,MATCH(1,($A9:$A15488=$A9)*($D9:$D15492="Self"),0)),TRUE,FALSE)</formula>
    </cfRule>
  </conditionalFormatting>
  <conditionalFormatting sqref="M27:AFW27 M30:P30 R30:AFW30">
    <cfRule type="expression" dxfId="3" priority="20" stopIfTrue="1">
      <formula>COUNTIF(Z21:Z27,V27)&gt;1</formula>
    </cfRule>
  </conditionalFormatting>
  <conditionalFormatting sqref="H9">
    <cfRule type="expression" dxfId="2" priority="21" stopIfTrue="1">
      <formula>IF(H9&lt;MEDIAN(H3:H9)*0.1,TRUE,FALSE)</formula>
    </cfRule>
  </conditionalFormatting>
  <conditionalFormatting sqref="Q30">
    <cfRule type="expression" dxfId="1" priority="2" stopIfTrue="1">
      <formula>COUNTIF(AB24:AB30,Z30)&gt;1</formula>
    </cfRule>
  </conditionalFormatting>
  <conditionalFormatting sqref="E10">
    <cfRule type="duplicateValues" dxfId="0" priority="1"/>
  </conditionalFormatting>
  <dataValidations count="2">
    <dataValidation type="list" allowBlank="1" showInputMessage="1" showErrorMessage="1" sqref="O1">
      <formula1>$D$10:$D$154</formula1>
    </dataValidation>
    <dataValidation type="list" allowBlank="1" showInputMessage="1" showErrorMessage="1" sqref="G10:G1048576">
      <formula1>"Name Corrections, DOB Corrections, Gender Corrections, Sum Insured Corrections, Relation Corrections"</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4"/>
  <sheetViews>
    <sheetView workbookViewId="0">
      <selection activeCell="D2" sqref="D2"/>
    </sheetView>
  </sheetViews>
  <sheetFormatPr defaultColWidth="8.81640625" defaultRowHeight="14.5" x14ac:dyDescent="0.35"/>
  <cols>
    <col min="1" max="1" width="16.7265625" customWidth="1"/>
    <col min="3" max="3" width="12.7265625" bestFit="1" customWidth="1"/>
  </cols>
  <sheetData>
    <row r="1" spans="1:4" x14ac:dyDescent="0.35">
      <c r="A1" t="s">
        <v>5</v>
      </c>
      <c r="B1" t="s">
        <v>8</v>
      </c>
    </row>
    <row r="2" spans="1:4" x14ac:dyDescent="0.35">
      <c r="A2" t="s">
        <v>30</v>
      </c>
      <c r="B2" t="s">
        <v>14</v>
      </c>
      <c r="C2" t="s">
        <v>31</v>
      </c>
      <c r="D2" t="s">
        <v>32</v>
      </c>
    </row>
    <row r="3" spans="1:4" x14ac:dyDescent="0.35">
      <c r="A3" t="s">
        <v>13</v>
      </c>
      <c r="B3" t="s">
        <v>33</v>
      </c>
      <c r="C3" t="s">
        <v>34</v>
      </c>
    </row>
    <row r="4" spans="1:4" x14ac:dyDescent="0.35">
      <c r="A4" t="s">
        <v>35</v>
      </c>
      <c r="B4" t="s">
        <v>36</v>
      </c>
      <c r="C4" t="s">
        <v>37</v>
      </c>
    </row>
    <row r="5" spans="1:4" x14ac:dyDescent="0.35">
      <c r="A5" t="s">
        <v>38</v>
      </c>
      <c r="B5" t="s">
        <v>39</v>
      </c>
      <c r="C5" t="s">
        <v>40</v>
      </c>
    </row>
    <row r="6" spans="1:4" x14ac:dyDescent="0.35">
      <c r="A6" t="s">
        <v>21</v>
      </c>
      <c r="C6" t="s">
        <v>41</v>
      </c>
    </row>
    <row r="7" spans="1:4" x14ac:dyDescent="0.35">
      <c r="A7" t="s">
        <v>42</v>
      </c>
      <c r="C7" t="s">
        <v>43</v>
      </c>
    </row>
    <row r="8" spans="1:4" x14ac:dyDescent="0.35">
      <c r="A8" t="s">
        <v>44</v>
      </c>
      <c r="C8" t="s">
        <v>45</v>
      </c>
    </row>
    <row r="9" spans="1:4" x14ac:dyDescent="0.35">
      <c r="A9" t="s">
        <v>46</v>
      </c>
      <c r="C9" t="s">
        <v>47</v>
      </c>
    </row>
    <row r="10" spans="1:4" x14ac:dyDescent="0.35">
      <c r="A10" t="s">
        <v>48</v>
      </c>
      <c r="C10" t="s">
        <v>49</v>
      </c>
    </row>
    <row r="11" spans="1:4" x14ac:dyDescent="0.35">
      <c r="A11" t="s">
        <v>50</v>
      </c>
      <c r="C11" t="s">
        <v>51</v>
      </c>
    </row>
    <row r="12" spans="1:4" x14ac:dyDescent="0.35">
      <c r="A12" t="s">
        <v>52</v>
      </c>
      <c r="C12" t="s">
        <v>53</v>
      </c>
    </row>
    <row r="13" spans="1:4" x14ac:dyDescent="0.35">
      <c r="A13" t="s">
        <v>54</v>
      </c>
      <c r="C13" t="s">
        <v>55</v>
      </c>
    </row>
    <row r="14" spans="1:4" x14ac:dyDescent="0.35">
      <c r="A14" t="s">
        <v>56</v>
      </c>
      <c r="C14" t="s">
        <v>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1bca336-b29d-48c1-ae63-69e59d9f3955" xsi:nil="true"/>
    <lcf76f155ced4ddcb4097134ff3c332f xmlns="3152df76-e962-4104-847e-ad8e034e264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F9D692EE398454FA404187A9041F101" ma:contentTypeVersion="18" ma:contentTypeDescription="Create a new document." ma:contentTypeScope="" ma:versionID="84efa0a4d86be696d93468b5057b1cb0">
  <xsd:schema xmlns:xsd="http://www.w3.org/2001/XMLSchema" xmlns:xs="http://www.w3.org/2001/XMLSchema" xmlns:p="http://schemas.microsoft.com/office/2006/metadata/properties" xmlns:ns2="a1bca336-b29d-48c1-ae63-69e59d9f3955" xmlns:ns3="3152df76-e962-4104-847e-ad8e034e264d" targetNamespace="http://schemas.microsoft.com/office/2006/metadata/properties" ma:root="true" ma:fieldsID="645fc896a4f5140a05f5ecfd20fd70c2" ns2:_="" ns3:_="">
    <xsd:import namespace="a1bca336-b29d-48c1-ae63-69e59d9f3955"/>
    <xsd:import namespace="3152df76-e962-4104-847e-ad8e034e264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ca336-b29d-48c1-ae63-69e59d9f395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cc30170-1678-4591-929b-b712f485401f}" ma:internalName="TaxCatchAll" ma:showField="CatchAllData" ma:web="a1bca336-b29d-48c1-ae63-69e59d9f395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152df76-e962-4104-847e-ad8e034e264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4206cbd-ed67-49c0-b8a0-af32ee4f262e"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5C2BC1-B7A6-4757-B51D-FA6AF953DF7A}">
  <ds:schemaRefs>
    <ds:schemaRef ds:uri="http://schemas.microsoft.com/office/2006/metadata/properties"/>
    <ds:schemaRef ds:uri="http://schemas.microsoft.com/office/infopath/2007/PartnerControls"/>
    <ds:schemaRef ds:uri="a1bca336-b29d-48c1-ae63-69e59d9f3955"/>
    <ds:schemaRef ds:uri="3152df76-e962-4104-847e-ad8e034e264d"/>
  </ds:schemaRefs>
</ds:datastoreItem>
</file>

<file path=customXml/itemProps2.xml><?xml version="1.0" encoding="utf-8"?>
<ds:datastoreItem xmlns:ds="http://schemas.openxmlformats.org/officeDocument/2006/customXml" ds:itemID="{CBF33A43-E528-4D24-9BF7-9095FB6166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ca336-b29d-48c1-ae63-69e59d9f3955"/>
    <ds:schemaRef ds:uri="3152df76-e962-4104-847e-ad8e034e264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181F71-5846-4E59-A4DC-767F7E7DCD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Additions</vt:lpstr>
      <vt:lpstr>Deletions</vt:lpstr>
      <vt:lpstr>Corrections</vt:lpstr>
      <vt:lpstr>DO NOT TOUCH</vt:lpstr>
      <vt:lpstr>relation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Sagar Singh</dc:creator>
  <cp:keywords/>
  <dc:description/>
  <cp:lastModifiedBy>Loop</cp:lastModifiedBy>
  <cp:revision/>
  <dcterms:created xsi:type="dcterms:W3CDTF">2022-09-28T11:10:54Z</dcterms:created>
  <dcterms:modified xsi:type="dcterms:W3CDTF">2024-08-20T17:52:36Z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0x0101009F9D692EE398454FA404187A9041F101</vt:lpwstr>
  </property>
  <property fmtid="{D5CDD505-2E9C-101B-9397-08002B2CF9AE}" pid="3" name="MediaServiceImageTags">
    <vt:lpwstr/>
  </property>
</Properties>
</file>